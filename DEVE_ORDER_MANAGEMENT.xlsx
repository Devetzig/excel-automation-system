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0bf89f2ff6c8a9/Υπολογιστής/a folder/DEVETZIS ELECTRO SERVICE/"/>
    </mc:Choice>
  </mc:AlternateContent>
  <xr:revisionPtr revIDLastSave="1035" documentId="8_{138625C3-D998-489B-91AE-3F1B2F827669}" xr6:coauthVersionLast="47" xr6:coauthVersionMax="47" xr10:uidLastSave="{E78C355B-C1A4-44CD-9302-305EC830FCB4}"/>
  <bookViews>
    <workbookView xWindow="-110" yWindow="-110" windowWidth="25820" windowHeight="13900" xr2:uid="{283E0D6F-4834-4120-B422-76B8BD35D146}"/>
  </bookViews>
  <sheets>
    <sheet name="Φύλλο1" sheetId="1" r:id="rId1"/>
  </sheets>
  <definedNames>
    <definedName name="_xlnm.Print_Area" localSheetId="0">Φύλλο1!$A$1:$G$54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1" l="1"/>
  <c r="M18" i="1"/>
  <c r="M19" i="1"/>
  <c r="M20" i="1"/>
  <c r="M21" i="1"/>
  <c r="M22" i="1"/>
  <c r="M23" i="1"/>
  <c r="M24" i="1"/>
  <c r="M25" i="1"/>
  <c r="N25" i="1" s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15" i="1"/>
  <c r="Q49" i="1"/>
  <c r="Q35" i="1"/>
  <c r="Q34" i="1"/>
  <c r="Q19" i="1"/>
  <c r="Q16" i="1"/>
  <c r="K16" i="1"/>
  <c r="M16" i="1" s="1"/>
  <c r="K17" i="1"/>
  <c r="N17" i="1" s="1"/>
  <c r="P17" i="1" s="1"/>
  <c r="K18" i="1"/>
  <c r="K19" i="1"/>
  <c r="K20" i="1"/>
  <c r="K21" i="1"/>
  <c r="K22" i="1"/>
  <c r="K23" i="1"/>
  <c r="K24" i="1"/>
  <c r="K25" i="1"/>
  <c r="K26" i="1"/>
  <c r="K27" i="1"/>
  <c r="N27" i="1" s="1"/>
  <c r="P27" i="1" s="1"/>
  <c r="K28" i="1"/>
  <c r="K29" i="1"/>
  <c r="K30" i="1"/>
  <c r="K31" i="1"/>
  <c r="K32" i="1"/>
  <c r="K33" i="1"/>
  <c r="N33" i="1" s="1"/>
  <c r="P33" i="1" s="1"/>
  <c r="K34" i="1"/>
  <c r="N34" i="1" s="1"/>
  <c r="P34" i="1" s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N19" i="1"/>
  <c r="P19" i="1" s="1"/>
  <c r="N35" i="1"/>
  <c r="P35" i="1" s="1"/>
  <c r="N39" i="1"/>
  <c r="P39" i="1" s="1"/>
  <c r="N49" i="1"/>
  <c r="P49" i="1" s="1"/>
  <c r="N50" i="1"/>
  <c r="P50" i="1" s="1"/>
  <c r="N51" i="1"/>
  <c r="P51" i="1" s="1"/>
  <c r="N52" i="1"/>
  <c r="P52" i="1" s="1"/>
  <c r="N53" i="1"/>
  <c r="P53" i="1" s="1"/>
  <c r="N54" i="1"/>
  <c r="P54" i="1" s="1"/>
  <c r="K15" i="1"/>
  <c r="P25" i="1" l="1"/>
  <c r="Q25" i="1"/>
  <c r="N47" i="1"/>
  <c r="N43" i="1"/>
  <c r="N31" i="1"/>
  <c r="N45" i="1"/>
  <c r="N48" i="1"/>
  <c r="N46" i="1"/>
  <c r="Q17" i="1"/>
  <c r="N44" i="1"/>
  <c r="N42" i="1"/>
  <c r="N41" i="1"/>
  <c r="Q54" i="1"/>
  <c r="N40" i="1"/>
  <c r="Q39" i="1"/>
  <c r="N38" i="1"/>
  <c r="N37" i="1"/>
  <c r="N36" i="1"/>
  <c r="Q27" i="1"/>
  <c r="N30" i="1"/>
  <c r="Q33" i="1"/>
  <c r="N29" i="1"/>
  <c r="Q50" i="1"/>
  <c r="N28" i="1"/>
  <c r="Q51" i="1"/>
  <c r="Q52" i="1"/>
  <c r="N26" i="1"/>
  <c r="Q53" i="1"/>
  <c r="N22" i="1"/>
  <c r="N24" i="1"/>
  <c r="N18" i="1"/>
  <c r="N23" i="1"/>
  <c r="N20" i="1"/>
  <c r="N21" i="1"/>
  <c r="N15" i="1"/>
  <c r="P15" i="1" s="1"/>
  <c r="N16" i="1"/>
  <c r="P16" i="1" s="1"/>
  <c r="N32" i="1"/>
  <c r="P40" i="1" l="1"/>
  <c r="Q40" i="1"/>
  <c r="P26" i="1"/>
  <c r="Q26" i="1"/>
  <c r="P23" i="1"/>
  <c r="Q23" i="1"/>
  <c r="P38" i="1"/>
  <c r="Q38" i="1"/>
  <c r="P24" i="1"/>
  <c r="Q24" i="1"/>
  <c r="P22" i="1"/>
  <c r="Q22" i="1"/>
  <c r="P41" i="1"/>
  <c r="Q41" i="1"/>
  <c r="P42" i="1"/>
  <c r="Q42" i="1" s="1"/>
  <c r="P44" i="1"/>
  <c r="Q44" i="1"/>
  <c r="P28" i="1"/>
  <c r="Q28" i="1"/>
  <c r="P46" i="1"/>
  <c r="Q46" i="1" s="1"/>
  <c r="P48" i="1"/>
  <c r="Q48" i="1"/>
  <c r="P29" i="1"/>
  <c r="Q29" i="1"/>
  <c r="P45" i="1"/>
  <c r="Q45" i="1"/>
  <c r="P32" i="1"/>
  <c r="Q32" i="1"/>
  <c r="P31" i="1"/>
  <c r="Q31" i="1" s="1"/>
  <c r="P30" i="1"/>
  <c r="Q30" i="1"/>
  <c r="P43" i="1"/>
  <c r="Q43" i="1"/>
  <c r="P47" i="1"/>
  <c r="Q47" i="1"/>
  <c r="P21" i="1"/>
  <c r="Q21" i="1"/>
  <c r="P36" i="1"/>
  <c r="Q36" i="1"/>
  <c r="P20" i="1"/>
  <c r="Q20" i="1"/>
  <c r="P37" i="1"/>
  <c r="Q37" i="1"/>
  <c r="P18" i="1"/>
  <c r="Q18" i="1" s="1"/>
  <c r="Q15" i="1"/>
</calcChain>
</file>

<file path=xl/sharedStrings.xml><?xml version="1.0" encoding="utf-8"?>
<sst xmlns="http://schemas.openxmlformats.org/spreadsheetml/2006/main" count="208" uniqueCount="101">
  <si>
    <t>ΔΕΒΕΤΖΗΣ Δ. ΙΩΑΝΝΗΣ</t>
  </si>
  <si>
    <t>28ης Οκτωβρίου 17 - Νεάπολη Κοζάνης</t>
  </si>
  <si>
    <t>email: devetzis.service@gmail.com</t>
  </si>
  <si>
    <t>Α.Φ.Μ.: 039104283        Δ.Ο.Υ: ΚΟΖΑΝΗΣ</t>
  </si>
  <si>
    <t>www.devetzis-service.gr  -  ΓΕΜΗ :010898436000</t>
  </si>
  <si>
    <t>Τηλ. 2468023283  -  Κιν.6947201129 - 6944951639</t>
  </si>
  <si>
    <t>Τράπεζα Πειραιώς : GR5601712400006240148942865</t>
  </si>
  <si>
    <t>Τράπεζα Alpha : GR9201405360536002002002491</t>
  </si>
  <si>
    <t>SERVICE - ΑΝΤΑΛΛΑΚΤΙΚΆ - ΕΙΣΑΓΩΓΕΣ</t>
  </si>
  <si>
    <t xml:space="preserve"> ID / CODE</t>
  </si>
  <si>
    <t>DATE</t>
  </si>
  <si>
    <t>CUSTOMER ID</t>
  </si>
  <si>
    <t>CUSTOMER NAME</t>
  </si>
  <si>
    <t>CUSTOMER EMAIL</t>
  </si>
  <si>
    <t>PRODUCT ID</t>
  </si>
  <si>
    <t>PRODUCT NAME</t>
  </si>
  <si>
    <t>UNIT PRICE</t>
  </si>
  <si>
    <t>QUANTITY</t>
  </si>
  <si>
    <t>DISCOUNT %</t>
  </si>
  <si>
    <t>SUBTOTAL</t>
  </si>
  <si>
    <t>DISCOUNT AMOUNT</t>
  </si>
  <si>
    <t>NET AMOUNT</t>
  </si>
  <si>
    <t>VAT %</t>
  </si>
  <si>
    <t>VAT AMOUNT</t>
  </si>
  <si>
    <t>TOTAL WITH VAT</t>
  </si>
  <si>
    <t>PAYMENT METHOD</t>
  </si>
  <si>
    <t>DELIVERY DATE</t>
  </si>
  <si>
    <t>ΚΩΔΙΚΟΣ</t>
  </si>
  <si>
    <t>ΗΜΕΡΟΜΗΝΙΑ</t>
  </si>
  <si>
    <t>ID ΠΕΛΑΤΗ</t>
  </si>
  <si>
    <t>ΟΝΟΜΑ ΠΕΛΑΤΗ</t>
  </si>
  <si>
    <t>EMAIL ΠΕΛΑΤΗ</t>
  </si>
  <si>
    <t>ΤΗΛΕΦΩΝΟ ΠΕΛΑΤΗ</t>
  </si>
  <si>
    <t>ID ΠΡΟΙΟΝΤΩΣ</t>
  </si>
  <si>
    <t>ΠΡΟΙΟΝ</t>
  </si>
  <si>
    <t>ΤΙΜΗ ΜΟΝΑΔΑΣ</t>
  </si>
  <si>
    <t>ΠΟΣΟ</t>
  </si>
  <si>
    <t>ΣΥΝΟΛΟ</t>
  </si>
  <si>
    <t>ΕΚΠΤΩΣΗ</t>
  </si>
  <si>
    <t>ΠΟΣΟ ΕΚΠΤΩΣΗΣ</t>
  </si>
  <si>
    <t>ΕΚΠΤΩΤΙΚΟ ΣΥΝΟΛΟ</t>
  </si>
  <si>
    <t>ΦΠΑ%</t>
  </si>
  <si>
    <t>ΠΟΣΟ ΦΠΑ</t>
  </si>
  <si>
    <t>ΤΕΛΙΚΗ ΤΙΜΗ</t>
  </si>
  <si>
    <t>ΜΕΘΟΔΟΣ ΠΛΗΡΩΜΗΣ</t>
  </si>
  <si>
    <t>ΗΜΕΡΟΜΗΝΙΑ ΠΑΡΑΔΩΣΗΣ</t>
  </si>
  <si>
    <t>ORDER SHEET - ΦΟΡΜΑ ΠΑΡΑΓΓΕΛΙΑΣ</t>
  </si>
  <si>
    <t>ΚΤΕΛ ΑΕ ΚΟΖΑΝΗΣ</t>
  </si>
  <si>
    <t>ΔΕΔΔΗΕ ΑΕ</t>
  </si>
  <si>
    <t>ΑΦΟΙ ΓΕΩΡΓΙΑΔΗ CRISTAL</t>
  </si>
  <si>
    <t>ΟΔΟΜΠΕΤΟΝ ΑΤΕ</t>
  </si>
  <si>
    <t>AMCO ABEE</t>
  </si>
  <si>
    <t>ΔΉΜΟΣ ΒΟΙΟΥ</t>
  </si>
  <si>
    <t>ΑΣΤΙΚΌ ΚΤΕΛ ΚΑΣΤΟΡΙΆΣ</t>
  </si>
  <si>
    <t>ΕΡΓΟΚΑΤΑΣΚΕΥΉ ΚΟΖΆΝΗ</t>
  </si>
  <si>
    <t>ΥΠΕΡΑΣΤΙΚΌ ΚΤΕΛ</t>
  </si>
  <si>
    <t>ΔΉΜΟΣ ΑΡΓΟΥΣ ΟΡΕΣΤΙΚΟΎ</t>
  </si>
  <si>
    <t>ΚΤΕΛ ΑΣΤΙΚΆ ΑΕ</t>
  </si>
  <si>
    <t>ARIS CARS</t>
  </si>
  <si>
    <t>YDRA GROUP</t>
  </si>
  <si>
    <t>info@ktelkoz.gr</t>
  </si>
  <si>
    <t>info@deddie.gr</t>
  </si>
  <si>
    <t>info@cristal.gr</t>
  </si>
  <si>
    <t>info@amco.gr</t>
  </si>
  <si>
    <t>info@voio.gr</t>
  </si>
  <si>
    <t>info@kastoria-ktel.gr</t>
  </si>
  <si>
    <t>info@ergokat.gr</t>
  </si>
  <si>
    <t>info@ktelkozani.gr</t>
  </si>
  <si>
    <t>info@argosorestiko.gr</t>
  </si>
  <si>
    <t>info@astika-ktel.gr</t>
  </si>
  <si>
    <t>info@ariscars.gr</t>
  </si>
  <si>
    <t>info@ydra.gr</t>
  </si>
  <si>
    <t>info@odompeto.gr</t>
  </si>
  <si>
    <t>ΛΆΔΙΑ</t>
  </si>
  <si>
    <t>ΚΑΛΏΔΙΑ ΗΧΕΊΩΝ</t>
  </si>
  <si>
    <t>ΑΝΤΛΊΑ ΒΕΝΖΊΝΗΣ</t>
  </si>
  <si>
    <t>ΔΙΑΚΌΠΤΗΣ ΠΑΡΑΘΉΡΩΝ</t>
  </si>
  <si>
    <t>ΑΜΟΡΤΙΣΈΡ</t>
  </si>
  <si>
    <t>ΕΛΑΣΤΙΚΆ ΑΥΤΟΚΙΝΉΤΟΥ</t>
  </si>
  <si>
    <t>ΡΕΛΕ</t>
  </si>
  <si>
    <t>ΑΝΤΙΨΥΚΤΙΚΌ</t>
  </si>
  <si>
    <t>ΜΠΑΤΑΡΊΑ ΑΥΤΟΚΙΝΉΤΟΥ</t>
  </si>
  <si>
    <t>ΥΓΡΆ ΠΙΤΣΙΛΊΘΡΑΣ</t>
  </si>
  <si>
    <t>ΣΠΙΡΆΛ</t>
  </si>
  <si>
    <t>ΣΩΛΊΝΑΣ ΑΈΡΟΣ</t>
  </si>
  <si>
    <t>ΦΑΝΆΡΙ ΌΓΚΟΥ</t>
  </si>
  <si>
    <t>ΑΝΤΆΠΤΟΡΑΣ ΑΈΡΟΣ</t>
  </si>
  <si>
    <t>ΣΤΡΟΦΌΜΕΤΡΟ</t>
  </si>
  <si>
    <t>ΑΣΦΑΛΕΙΟΘΉΚΗ</t>
  </si>
  <si>
    <t>ΗΛΕΚΤΡΟΒΑΛΒΊΔΑ</t>
  </si>
  <si>
    <t>ΒΟΜΒΗΤΉΣ ΌΠΙΣΘΕΝ</t>
  </si>
  <si>
    <t>ΔΙΑΚΌΠΤΗΣ ΦΏΤΩΝ</t>
  </si>
  <si>
    <t>ΛΑΜΠΑ Η7</t>
  </si>
  <si>
    <t>ΑΙΣΘΗΤΉΡΑΣ ΦΡΈΝΟΥ</t>
  </si>
  <si>
    <t>ΜΟΤΈΡ ΚΛΙΜΑΤΙΣΤΙΚΟΎ</t>
  </si>
  <si>
    <t>ΚΑΘΡΈΠΤΗΣ</t>
  </si>
  <si>
    <t>ΜΊΖΑ</t>
  </si>
  <si>
    <t>Μεταφορά στη Τράπεζα</t>
  </si>
  <si>
    <t>Κάρτα</t>
  </si>
  <si>
    <t>Μετρητά</t>
  </si>
  <si>
    <t>COSTUMER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</si>
</sst>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#,##0.00\ &quot;€&quot;;\-#,##0.00\ &quot;€&quot;"/>
    <numFmt numFmtId="44" formatCode="_-* #,##0.00\ &quot;€&quot;_-;\-* #,##0.00\ &quot;€&quot;_-;_-* &quot;-&quot;??\ &quot;€&quot;_-;_-@_-"/>
  </numFmts>
  <fonts count="9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rial Nova"/>
      <family val="2"/>
    </font>
    <font>
      <sz val="12"/>
      <color theme="1"/>
      <name val="Arial Nova"/>
      <family val="2"/>
    </font>
    <font>
      <b/>
      <u/>
      <sz val="24"/>
      <color theme="1"/>
      <name val="Arial Nova"/>
      <family val="2"/>
    </font>
    <font>
      <b/>
      <u/>
      <sz val="12"/>
      <color theme="1"/>
      <name val="Arial Nova"/>
      <family val="2"/>
    </font>
    <font>
      <b/>
      <sz val="11"/>
      <color theme="1"/>
      <name val="Arial Nova"/>
      <family val="2"/>
    </font>
    <font>
      <b/>
      <u/>
      <sz val="11"/>
      <color theme="1"/>
      <name val="Arial Nova"/>
      <family val="2"/>
    </font>
    <font>
      <u/>
      <sz val="11"/>
      <color theme="10"/>
      <name val="Aptos Narrow"/>
      <family val="2"/>
      <charset val="161"/>
      <scheme val="minor"/>
    </font>
    <font>
      <sz val="8"/>
      <name val="Aptos Narrow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2" fillId="2" borderId="2" xfId="0" applyFont="1" applyFill="1" applyBorder="1"/>
    <xf numFmtId="0" fontId="1" fillId="2" borderId="0" xfId="0" applyFont="1" applyFill="1"/>
    <xf numFmtId="0" fontId="1" fillId="2" borderId="3" xfId="0" applyFont="1" applyFill="1" applyBorder="1"/>
    <xf numFmtId="0" fontId="1" fillId="2" borderId="6" xfId="0" applyFont="1" applyFill="1" applyBorder="1"/>
    <xf numFmtId="0" fontId="1" fillId="2" borderId="5" xfId="0" applyFont="1" applyFill="1" applyBorder="1"/>
    <xf numFmtId="0" fontId="1" fillId="0" borderId="1" xfId="0" applyFont="1" applyBorder="1"/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/>
    <xf numFmtId="0" fontId="2" fillId="2" borderId="4" xfId="0" applyFont="1" applyFill="1" applyBorder="1" applyAlignment="1">
      <alignment horizontal="left" vertical="center"/>
    </xf>
    <xf numFmtId="0" fontId="2" fillId="2" borderId="6" xfId="0" applyFont="1" applyFill="1" applyBorder="1"/>
    <xf numFmtId="0" fontId="3" fillId="3" borderId="12" xfId="0" applyFont="1" applyFill="1" applyBorder="1"/>
    <xf numFmtId="0" fontId="3" fillId="3" borderId="7" xfId="0" applyFont="1" applyFill="1" applyBorder="1"/>
    <xf numFmtId="0" fontId="6" fillId="3" borderId="7" xfId="0" applyFont="1" applyFill="1" applyBorder="1"/>
    <xf numFmtId="0" fontId="6" fillId="3" borderId="8" xfId="0" applyFont="1" applyFill="1" applyBorder="1"/>
    <xf numFmtId="0" fontId="4" fillId="3" borderId="9" xfId="0" applyFont="1" applyFill="1" applyBorder="1"/>
    <xf numFmtId="0" fontId="6" fillId="3" borderId="10" xfId="0" applyFont="1" applyFill="1" applyBorder="1"/>
    <xf numFmtId="0" fontId="6" fillId="3" borderId="11" xfId="0" applyFont="1" applyFill="1" applyBorder="1"/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7" fillId="0" borderId="1" xfId="1" applyBorder="1" applyAlignment="1">
      <alignment horizontal="center" vertical="center"/>
    </xf>
    <xf numFmtId="44" fontId="5" fillId="0" borderId="1" xfId="0" applyNumberFormat="1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4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4" fontId="1" fillId="0" borderId="19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7" fillId="0" borderId="19" xfId="1" applyBorder="1" applyAlignment="1">
      <alignment horizontal="center" vertical="center"/>
    </xf>
    <xf numFmtId="0" fontId="1" fillId="0" borderId="19" xfId="0" applyFont="1" applyBorder="1"/>
    <xf numFmtId="44" fontId="1" fillId="0" borderId="19" xfId="0" applyNumberFormat="1" applyFont="1" applyBorder="1" applyAlignment="1">
      <alignment horizontal="center" vertical="center"/>
    </xf>
    <xf numFmtId="9" fontId="1" fillId="0" borderId="19" xfId="0" applyNumberFormat="1" applyFont="1" applyBorder="1" applyAlignment="1">
      <alignment horizontal="center" vertical="center"/>
    </xf>
    <xf numFmtId="44" fontId="5" fillId="0" borderId="19" xfId="0" applyNumberFormat="1" applyFont="1" applyBorder="1" applyAlignment="1">
      <alignment horizontal="center" vertical="center"/>
    </xf>
    <xf numFmtId="14" fontId="1" fillId="0" borderId="20" xfId="0" applyNumberFormat="1" applyFont="1" applyBorder="1" applyAlignment="1">
      <alignment horizontal="center" vertical="center"/>
    </xf>
    <xf numFmtId="7" fontId="1" fillId="0" borderId="1" xfId="0" applyNumberFormat="1" applyFont="1" applyBorder="1" applyAlignment="1">
      <alignment horizontal="right" vertical="center"/>
    </xf>
  </cellXfs>
  <cellStyles count="2">
    <cellStyle name="Κανονικό" xfId="0" builtinId="0"/>
    <cellStyle name="Υπερ-σύνδεση" xfId="1" builtinId="8"/>
  </cellStyles>
  <dxfs count="23"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/>
        <name val="Arial Nova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  <numFmt numFmtId="34" formatCode="_-* #,##0.00\ &quot;€&quot;_-;\-* #,##0.00\ &quot;€&quot;_-;_-* &quot;-&quot;??\ &quot;€&quot;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  <numFmt numFmtId="34" formatCode="_-* #,##0.00\ &quot;€&quot;_-;\-* #,##0.00\ &quot;€&quot;_-;_-* &quot;-&quot;??\ &quot;€&quot;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  <numFmt numFmtId="34" formatCode="_-* #,##0.00\ &quot;€&quot;_-;\-* #,##0.00\ &quot;€&quot;_-;_-* &quot;-&quot;??\ &quot;€&quot;_-;_-@_-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  <numFmt numFmtId="34" formatCode="_-* #,##0.00\ &quot;€&quot;_-;\-* #,##0.00\ &quot;€&quot;_-;_-* &quot;-&quot;??\ &quot;€&quot;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  <numFmt numFmtId="34" formatCode="_-* #,##0.00\ &quot;€&quot;_-;\-* #,##0.00\ &quot;€&quot;_-;_-* &quot;-&quot;??\ &quot;€&quot;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293688</xdr:colOff>
      <xdr:row>0</xdr:row>
      <xdr:rowOff>176212</xdr:rowOff>
    </xdr:from>
    <xdr:to>
      <xdr:col>9</xdr:col>
      <xdr:colOff>104083</xdr:colOff>
      <xdr:row>10</xdr:row>
      <xdr:rowOff>50799</xdr:rowOff>
    </xdr:to>
    <xdr:pic>
      <xdr:nvPicPr>
        <xdr:cNvPr id="2" name="Εικόνα 1">
          <a:extLst>
            <a:ext uri="{FF2B5EF4-FFF2-40B4-BE49-F238E27FC236}">
              <a16:creationId xmlns:a16="http://schemas.microsoft.com/office/drawing/2014/main" id="{A12AF162-8909-EB24-9C53-F1C6D88DF7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18" t="446" r="108" b="610"/>
        <a:stretch>
          <a:fillRect/>
        </a:stretch>
      </xdr:blipFill>
      <xdr:spPr>
        <a:xfrm>
          <a:off x="6427788" y="176212"/>
          <a:ext cx="8649595" cy="207168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F00F92-BC8F-4403-B29B-A8F706675797}" name="tblOrders" displayName="tblOrders" ref="A14:S54" totalsRowShown="0" headerRowDxfId="2" dataDxfId="1" tableBorderDxfId="0">
  <autoFilter ref="A14:S54" xr:uid="{73F00F92-BC8F-4403-B29B-A8F706675797}"/>
  <tableColumns count="19">
    <tableColumn id="1" xr3:uid="{642F527C-1343-4160-9170-FF1430AC3C11}" name=" ID / CODE" dataDxfId="21"/>
    <tableColumn id="2" xr3:uid="{95DDBA20-2FBC-4622-A4FE-2F74A8A6A51E}" name="DATE" dataDxfId="20"/>
    <tableColumn id="3" xr3:uid="{B1F13FC2-EA5B-4162-BA62-DFE3F759F152}" name="CUSTOMER ID" dataDxfId="19"/>
    <tableColumn id="4" xr3:uid="{F7C354A2-0BB8-47C1-99D0-CF0212202347}" name="CUSTOMER NAME" dataDxfId="18"/>
    <tableColumn id="5" xr3:uid="{98B02E00-C25E-4C23-93B1-F3078C8E00B6}" name="CUSTOMER EMAIL" dataDxfId="17"/>
    <tableColumn id="6" xr3:uid="{3A42DB4B-508A-4CB6-8348-3BFE17C753B8}" name="COSTUMER PHONE" dataDxfId="16"/>
    <tableColumn id="7" xr3:uid="{FB7742D9-5223-468B-ACFE-0B5452F180E3}" name="PRODUCT ID" dataDxfId="15"/>
    <tableColumn id="8" xr3:uid="{C4C203AD-B3A0-4197-9B8B-DFBA91C19BE3}" name="PRODUCT NAME" dataDxfId="14"/>
    <tableColumn id="10" xr3:uid="{7B9968A4-3E2B-44A0-9758-1208E1D4E01F}" name="UNIT PRICE" dataDxfId="13"/>
    <tableColumn id="11" xr3:uid="{D6FF7286-AB37-47B5-8B15-5391F04279BE}" name="QUANTITY" dataDxfId="12"/>
    <tableColumn id="12" xr3:uid="{98DE09D4-9115-42B1-B6DD-0EE679D7F763}" name="SUBTOTAL" dataDxfId="11">
      <calculatedColumnFormula>I15*J15</calculatedColumnFormula>
    </tableColumn>
    <tableColumn id="13" xr3:uid="{1B2D248E-EC01-4B39-8EA0-C7012BCC5CFB}" name="DISCOUNT %" dataDxfId="10"/>
    <tableColumn id="14" xr3:uid="{DE577CBF-AA51-430D-B467-A8D27E9CE0E4}" name="DISCOUNT AMOUNT" dataDxfId="9">
      <calculatedColumnFormula>K15*L15</calculatedColumnFormula>
    </tableColumn>
    <tableColumn id="15" xr3:uid="{950189DB-D524-4477-83F9-B1AE1B137A83}" name="NET AMOUNT" dataDxfId="8">
      <calculatedColumnFormula>K15-M15</calculatedColumnFormula>
    </tableColumn>
    <tableColumn id="16" xr3:uid="{34964A04-6238-4844-B821-06EA61D0E54C}" name="VAT %" dataDxfId="7"/>
    <tableColumn id="17" xr3:uid="{CAE2E6DF-505B-41C9-BEEA-B9E7F43D317D}" name="VAT AMOUNT" dataDxfId="6">
      <calculatedColumnFormula>N15*O15</calculatedColumnFormula>
    </tableColumn>
    <tableColumn id="18" xr3:uid="{F1BE73C4-9F41-4088-BBDE-990FD2ED9E60}" name="TOTAL WITH VAT" dataDxfId="5">
      <calculatedColumnFormula>N15+P15</calculatedColumnFormula>
    </tableColumn>
    <tableColumn id="19" xr3:uid="{6AF00ED6-24B0-4073-9B6E-C35655297DEA}" name="PAYMENT METHOD" dataDxfId="4"/>
    <tableColumn id="20" xr3:uid="{65A28931-E6C8-493B-AC76-C6D3B1DDA8EF}" name="DELIVERY DATE" dataDxfId="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ydra.gr" TargetMode="External"/><Relationship Id="rId18" Type="http://schemas.openxmlformats.org/officeDocument/2006/relationships/hyperlink" Target="mailto:info@amco.gr" TargetMode="External"/><Relationship Id="rId26" Type="http://schemas.openxmlformats.org/officeDocument/2006/relationships/hyperlink" Target="mailto:info@ydra.gr" TargetMode="External"/><Relationship Id="rId39" Type="http://schemas.openxmlformats.org/officeDocument/2006/relationships/hyperlink" Target="mailto:info@ydra.gr" TargetMode="External"/><Relationship Id="rId21" Type="http://schemas.openxmlformats.org/officeDocument/2006/relationships/hyperlink" Target="mailto:info@ergokat.gr" TargetMode="External"/><Relationship Id="rId34" Type="http://schemas.openxmlformats.org/officeDocument/2006/relationships/hyperlink" Target="mailto:info@ergokat.gr" TargetMode="External"/><Relationship Id="rId42" Type="http://schemas.openxmlformats.org/officeDocument/2006/relationships/drawing" Target="../drawings/drawing1.xml"/><Relationship Id="rId7" Type="http://schemas.openxmlformats.org/officeDocument/2006/relationships/hyperlink" Target="mailto:info@kastoria-ktel.gr" TargetMode="External"/><Relationship Id="rId2" Type="http://schemas.openxmlformats.org/officeDocument/2006/relationships/hyperlink" Target="mailto:info@deddie.gr" TargetMode="External"/><Relationship Id="rId16" Type="http://schemas.openxmlformats.org/officeDocument/2006/relationships/hyperlink" Target="mailto:info@cristal.gr" TargetMode="External"/><Relationship Id="rId20" Type="http://schemas.openxmlformats.org/officeDocument/2006/relationships/hyperlink" Target="mailto:info@kastoria-ktel.gr" TargetMode="External"/><Relationship Id="rId29" Type="http://schemas.openxmlformats.org/officeDocument/2006/relationships/hyperlink" Target="mailto:info@cristal.gr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info@ktelkoz.gr" TargetMode="External"/><Relationship Id="rId6" Type="http://schemas.openxmlformats.org/officeDocument/2006/relationships/hyperlink" Target="mailto:info@voio.gr" TargetMode="External"/><Relationship Id="rId11" Type="http://schemas.openxmlformats.org/officeDocument/2006/relationships/hyperlink" Target="mailto:info@astika-ktel.gr" TargetMode="External"/><Relationship Id="rId24" Type="http://schemas.openxmlformats.org/officeDocument/2006/relationships/hyperlink" Target="mailto:info@astika-ktel.gr" TargetMode="External"/><Relationship Id="rId32" Type="http://schemas.openxmlformats.org/officeDocument/2006/relationships/hyperlink" Target="mailto:info@voio.gr" TargetMode="External"/><Relationship Id="rId37" Type="http://schemas.openxmlformats.org/officeDocument/2006/relationships/hyperlink" Target="mailto:info@astika-ktel.gr" TargetMode="External"/><Relationship Id="rId40" Type="http://schemas.openxmlformats.org/officeDocument/2006/relationships/hyperlink" Target="mailto:info@ktelkoz.gr" TargetMode="External"/><Relationship Id="rId5" Type="http://schemas.openxmlformats.org/officeDocument/2006/relationships/hyperlink" Target="mailto:info@amco.gr" TargetMode="External"/><Relationship Id="rId15" Type="http://schemas.openxmlformats.org/officeDocument/2006/relationships/hyperlink" Target="mailto:info@deddie.gr" TargetMode="External"/><Relationship Id="rId23" Type="http://schemas.openxmlformats.org/officeDocument/2006/relationships/hyperlink" Target="mailto:info@argosorestiko.gr" TargetMode="External"/><Relationship Id="rId28" Type="http://schemas.openxmlformats.org/officeDocument/2006/relationships/hyperlink" Target="mailto:info@deddie.gr" TargetMode="External"/><Relationship Id="rId36" Type="http://schemas.openxmlformats.org/officeDocument/2006/relationships/hyperlink" Target="mailto:info@argosorestiko.gr" TargetMode="External"/><Relationship Id="rId10" Type="http://schemas.openxmlformats.org/officeDocument/2006/relationships/hyperlink" Target="mailto:info@argosorestiko.gr" TargetMode="External"/><Relationship Id="rId19" Type="http://schemas.openxmlformats.org/officeDocument/2006/relationships/hyperlink" Target="mailto:info@voio.gr" TargetMode="External"/><Relationship Id="rId31" Type="http://schemas.openxmlformats.org/officeDocument/2006/relationships/hyperlink" Target="mailto:info@amco.gr" TargetMode="External"/><Relationship Id="rId4" Type="http://schemas.openxmlformats.org/officeDocument/2006/relationships/hyperlink" Target="mailto:info@odompeto.gr" TargetMode="External"/><Relationship Id="rId9" Type="http://schemas.openxmlformats.org/officeDocument/2006/relationships/hyperlink" Target="mailto:info@ktelkozani.gr" TargetMode="External"/><Relationship Id="rId14" Type="http://schemas.openxmlformats.org/officeDocument/2006/relationships/hyperlink" Target="mailto:info@ktelkoz.gr" TargetMode="External"/><Relationship Id="rId22" Type="http://schemas.openxmlformats.org/officeDocument/2006/relationships/hyperlink" Target="mailto:info@ktelkozani.gr" TargetMode="External"/><Relationship Id="rId27" Type="http://schemas.openxmlformats.org/officeDocument/2006/relationships/hyperlink" Target="mailto:info@ktelkoz.gr" TargetMode="External"/><Relationship Id="rId30" Type="http://schemas.openxmlformats.org/officeDocument/2006/relationships/hyperlink" Target="mailto:info@odompeto.gr" TargetMode="External"/><Relationship Id="rId35" Type="http://schemas.openxmlformats.org/officeDocument/2006/relationships/hyperlink" Target="mailto:info@ktelkozani.gr" TargetMode="External"/><Relationship Id="rId43" Type="http://schemas.openxmlformats.org/officeDocument/2006/relationships/table" Target="../tables/table1.xml"/><Relationship Id="rId8" Type="http://schemas.openxmlformats.org/officeDocument/2006/relationships/hyperlink" Target="mailto:info@ergokat.gr" TargetMode="External"/><Relationship Id="rId3" Type="http://schemas.openxmlformats.org/officeDocument/2006/relationships/hyperlink" Target="mailto:info@cristal.gr" TargetMode="External"/><Relationship Id="rId12" Type="http://schemas.openxmlformats.org/officeDocument/2006/relationships/hyperlink" Target="mailto:info@ariscars.gr" TargetMode="External"/><Relationship Id="rId17" Type="http://schemas.openxmlformats.org/officeDocument/2006/relationships/hyperlink" Target="mailto:info@odompeto.gr" TargetMode="External"/><Relationship Id="rId25" Type="http://schemas.openxmlformats.org/officeDocument/2006/relationships/hyperlink" Target="mailto:info@ariscars.gr" TargetMode="External"/><Relationship Id="rId33" Type="http://schemas.openxmlformats.org/officeDocument/2006/relationships/hyperlink" Target="mailto:info@kastoria-ktel.gr" TargetMode="External"/><Relationship Id="rId38" Type="http://schemas.openxmlformats.org/officeDocument/2006/relationships/hyperlink" Target="mailto:info@ariscars.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F616-A32E-457B-AD49-8E48C82682CD}">
  <dimension ref="A1:S54"/>
  <sheetViews>
    <sheetView tabSelected="1" zoomScale="50" zoomScaleNormal="50" workbookViewId="0">
      <selection sqref="A1:S54"/>
    </sheetView>
  </sheetViews>
  <sheetFormatPr defaultRowHeight="14.5" x14ac:dyDescent="0.35"/>
  <cols>
    <col min="1" max="1" width="17.453125" customWidth="1"/>
    <col min="2" max="2" width="20.1796875" customWidth="1"/>
    <col min="3" max="3" width="21.453125" customWidth="1"/>
    <col min="4" max="4" width="28.7265625" customWidth="1"/>
    <col min="5" max="5" width="26.6328125" customWidth="1"/>
    <col min="6" max="6" width="26.90625" customWidth="1"/>
    <col min="7" max="7" width="25.6328125" customWidth="1"/>
    <col min="8" max="8" width="25.90625" customWidth="1"/>
    <col min="9" max="9" width="21.26953125" customWidth="1"/>
    <col min="10" max="10" width="17" customWidth="1"/>
    <col min="11" max="11" width="14.26953125" customWidth="1"/>
    <col min="12" max="12" width="16.90625" customWidth="1"/>
    <col min="13" max="13" width="24.81640625" customWidth="1"/>
    <col min="14" max="14" width="25.26953125" customWidth="1"/>
    <col min="15" max="15" width="22.26953125" customWidth="1"/>
    <col min="16" max="16" width="19.54296875" customWidth="1"/>
    <col min="17" max="17" width="24" customWidth="1"/>
    <col min="18" max="18" width="27.1796875" customWidth="1"/>
    <col min="19" max="19" width="32.26953125" customWidth="1"/>
    <col min="20" max="20" width="15.81640625" customWidth="1"/>
    <col min="21" max="21" width="18" customWidth="1"/>
  </cols>
  <sheetData>
    <row r="1" spans="1:19" ht="15" thickBot="1" x14ac:dyDescent="0.4"/>
    <row r="2" spans="1:19" ht="30" x14ac:dyDescent="0.6">
      <c r="A2" s="12" t="s">
        <v>0</v>
      </c>
      <c r="B2" s="13"/>
      <c r="C2" s="14"/>
      <c r="D2" s="1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6" thickBot="1" x14ac:dyDescent="0.4">
      <c r="A3" s="16" t="s">
        <v>8</v>
      </c>
      <c r="B3" s="17"/>
      <c r="C3" s="17"/>
      <c r="D3" s="1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.5" x14ac:dyDescent="0.35">
      <c r="A4" s="2" t="s">
        <v>1</v>
      </c>
      <c r="B4" s="3"/>
      <c r="C4" s="3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5" x14ac:dyDescent="0.35">
      <c r="A5" s="2" t="s">
        <v>5</v>
      </c>
      <c r="B5" s="3"/>
      <c r="C5" s="3"/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5.5" x14ac:dyDescent="0.35">
      <c r="A6" s="2" t="s">
        <v>2</v>
      </c>
      <c r="B6" s="3"/>
      <c r="C6" s="3"/>
      <c r="D6" s="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5.5" x14ac:dyDescent="0.35">
      <c r="A7" s="2" t="s">
        <v>4</v>
      </c>
      <c r="B7" s="3"/>
      <c r="C7" s="3"/>
      <c r="D7" s="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5.5" x14ac:dyDescent="0.35">
      <c r="A8" s="2" t="s">
        <v>3</v>
      </c>
      <c r="B8" s="3"/>
      <c r="C8" s="3"/>
      <c r="D8" s="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5.5" x14ac:dyDescent="0.35">
      <c r="A9" s="8" t="s">
        <v>6</v>
      </c>
      <c r="B9" s="9"/>
      <c r="C9" s="3"/>
      <c r="D9" s="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5.5" x14ac:dyDescent="0.35">
      <c r="A10" s="10" t="s">
        <v>7</v>
      </c>
      <c r="B10" s="11"/>
      <c r="C10" s="5"/>
      <c r="D10" s="6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5" thickBot="1" x14ac:dyDescent="0.4"/>
    <row r="12" spans="1:19" ht="30" x14ac:dyDescent="0.35">
      <c r="A12" s="28" t="s">
        <v>46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30"/>
    </row>
    <row r="13" spans="1:19" ht="15" x14ac:dyDescent="0.35">
      <c r="A13" s="31" t="s">
        <v>27</v>
      </c>
      <c r="B13" s="27" t="s">
        <v>28</v>
      </c>
      <c r="C13" s="27" t="s">
        <v>29</v>
      </c>
      <c r="D13" s="27" t="s">
        <v>30</v>
      </c>
      <c r="E13" s="27" t="s">
        <v>31</v>
      </c>
      <c r="F13" s="27" t="s">
        <v>32</v>
      </c>
      <c r="G13" s="27" t="s">
        <v>33</v>
      </c>
      <c r="H13" s="27" t="s">
        <v>34</v>
      </c>
      <c r="I13" s="27" t="s">
        <v>35</v>
      </c>
      <c r="J13" s="27" t="s">
        <v>36</v>
      </c>
      <c r="K13" s="27" t="s">
        <v>37</v>
      </c>
      <c r="L13" s="27" t="s">
        <v>38</v>
      </c>
      <c r="M13" s="27" t="s">
        <v>39</v>
      </c>
      <c r="N13" s="27" t="s">
        <v>40</v>
      </c>
      <c r="O13" s="27" t="s">
        <v>41</v>
      </c>
      <c r="P13" s="27" t="s">
        <v>42</v>
      </c>
      <c r="Q13" s="26" t="s">
        <v>43</v>
      </c>
      <c r="R13" s="27" t="s">
        <v>44</v>
      </c>
      <c r="S13" s="32" t="s">
        <v>45</v>
      </c>
    </row>
    <row r="14" spans="1:19" ht="15" x14ac:dyDescent="0.35">
      <c r="A14" s="31" t="s">
        <v>9</v>
      </c>
      <c r="B14" s="27" t="s">
        <v>10</v>
      </c>
      <c r="C14" s="27" t="s">
        <v>11</v>
      </c>
      <c r="D14" s="27" t="s">
        <v>12</v>
      </c>
      <c r="E14" s="27" t="s">
        <v>13</v>
      </c>
      <c r="F14" s="27" t="s">
        <v>100</v>
      </c>
      <c r="G14" s="27" t="s">
        <v>14</v>
      </c>
      <c r="H14" s="27" t="s">
        <v>15</v>
      </c>
      <c r="I14" s="27" t="s">
        <v>16</v>
      </c>
      <c r="J14" s="27" t="s">
        <v>17</v>
      </c>
      <c r="K14" s="27" t="s">
        <v>19</v>
      </c>
      <c r="L14" s="27" t="s">
        <v>18</v>
      </c>
      <c r="M14" s="27" t="s">
        <v>20</v>
      </c>
      <c r="N14" s="27" t="s">
        <v>21</v>
      </c>
      <c r="O14" s="27" t="s">
        <v>22</v>
      </c>
      <c r="P14" s="27" t="s">
        <v>23</v>
      </c>
      <c r="Q14" s="26" t="s">
        <v>24</v>
      </c>
      <c r="R14" s="27" t="s">
        <v>25</v>
      </c>
      <c r="S14" s="32" t="s">
        <v>26</v>
      </c>
    </row>
    <row r="15" spans="1:19" x14ac:dyDescent="0.35">
      <c r="A15" s="33">
        <v>1</v>
      </c>
      <c r="B15" s="25">
        <v>45537</v>
      </c>
      <c r="C15" s="19">
        <v>4</v>
      </c>
      <c r="D15" s="21" t="s">
        <v>47</v>
      </c>
      <c r="E15" s="22" t="s">
        <v>60</v>
      </c>
      <c r="F15" s="19">
        <v>4444444444</v>
      </c>
      <c r="G15" s="19">
        <v>10</v>
      </c>
      <c r="H15" s="7" t="s">
        <v>78</v>
      </c>
      <c r="I15" s="24">
        <v>45.6</v>
      </c>
      <c r="J15" s="19">
        <v>4</v>
      </c>
      <c r="K15" s="24">
        <f>I15*J15</f>
        <v>182.4</v>
      </c>
      <c r="L15" s="20">
        <v>0.05</v>
      </c>
      <c r="M15" s="45">
        <f>K15*L15</f>
        <v>9.120000000000001</v>
      </c>
      <c r="N15" s="24">
        <f>K15-M15</f>
        <v>173.28</v>
      </c>
      <c r="O15" s="20">
        <v>0.24</v>
      </c>
      <c r="P15" s="24">
        <f>N15*O15</f>
        <v>41.587199999999996</v>
      </c>
      <c r="Q15" s="23">
        <f>N15+P15</f>
        <v>214.8672</v>
      </c>
      <c r="R15" s="7" t="s">
        <v>97</v>
      </c>
      <c r="S15" s="34">
        <v>45540</v>
      </c>
    </row>
    <row r="16" spans="1:19" x14ac:dyDescent="0.35">
      <c r="A16" s="33">
        <v>2</v>
      </c>
      <c r="B16" s="25">
        <v>45538</v>
      </c>
      <c r="C16" s="19">
        <v>10</v>
      </c>
      <c r="D16" s="21" t="s">
        <v>48</v>
      </c>
      <c r="E16" s="22" t="s">
        <v>61</v>
      </c>
      <c r="F16" s="19">
        <v>1010101010</v>
      </c>
      <c r="G16" s="19">
        <v>19</v>
      </c>
      <c r="H16" s="7" t="s">
        <v>79</v>
      </c>
      <c r="I16" s="24">
        <v>11.4</v>
      </c>
      <c r="J16" s="19">
        <v>10</v>
      </c>
      <c r="K16" s="24">
        <f t="shared" ref="K16:K54" si="0">I16*J16</f>
        <v>114</v>
      </c>
      <c r="L16" s="20">
        <v>0</v>
      </c>
      <c r="M16" s="45">
        <f t="shared" ref="M16:M54" si="1">K16*L16</f>
        <v>0</v>
      </c>
      <c r="N16" s="24">
        <f t="shared" ref="N16:N54" si="2">K16-M16</f>
        <v>114</v>
      </c>
      <c r="O16" s="20">
        <v>0.24</v>
      </c>
      <c r="P16" s="24">
        <f t="shared" ref="P16:P54" si="3">N16*O16</f>
        <v>27.36</v>
      </c>
      <c r="Q16" s="23">
        <f t="shared" ref="Q16:Q54" si="4">N16+P16</f>
        <v>141.36000000000001</v>
      </c>
      <c r="R16" s="7" t="s">
        <v>97</v>
      </c>
      <c r="S16" s="34">
        <v>45541</v>
      </c>
    </row>
    <row r="17" spans="1:19" x14ac:dyDescent="0.35">
      <c r="A17" s="33">
        <v>3</v>
      </c>
      <c r="B17" s="25">
        <v>45539</v>
      </c>
      <c r="C17" s="19">
        <v>1</v>
      </c>
      <c r="D17" s="21" t="s">
        <v>49</v>
      </c>
      <c r="E17" s="22" t="s">
        <v>62</v>
      </c>
      <c r="F17" s="19">
        <v>1111111111</v>
      </c>
      <c r="G17" s="19">
        <v>14</v>
      </c>
      <c r="H17" s="7" t="s">
        <v>73</v>
      </c>
      <c r="I17" s="24">
        <v>9.1199999999999992</v>
      </c>
      <c r="J17" s="19">
        <v>15</v>
      </c>
      <c r="K17" s="24">
        <f t="shared" si="0"/>
        <v>136.79999999999998</v>
      </c>
      <c r="L17" s="20">
        <v>0.1</v>
      </c>
      <c r="M17" s="45">
        <f t="shared" si="1"/>
        <v>13.68</v>
      </c>
      <c r="N17" s="24">
        <f t="shared" si="2"/>
        <v>123.11999999999998</v>
      </c>
      <c r="O17" s="20">
        <v>0.24</v>
      </c>
      <c r="P17" s="24">
        <f t="shared" si="3"/>
        <v>29.548799999999993</v>
      </c>
      <c r="Q17" s="23">
        <f t="shared" si="4"/>
        <v>152.66879999999998</v>
      </c>
      <c r="R17" s="7" t="s">
        <v>99</v>
      </c>
      <c r="S17" s="34">
        <v>45544</v>
      </c>
    </row>
    <row r="18" spans="1:19" x14ac:dyDescent="0.35">
      <c r="A18" s="33">
        <v>4</v>
      </c>
      <c r="B18" s="25">
        <v>45540</v>
      </c>
      <c r="C18" s="19">
        <v>2</v>
      </c>
      <c r="D18" s="21" t="s">
        <v>50</v>
      </c>
      <c r="E18" s="22" t="s">
        <v>72</v>
      </c>
      <c r="F18" s="19">
        <v>2222222222</v>
      </c>
      <c r="G18" s="19">
        <v>4</v>
      </c>
      <c r="H18" s="7" t="s">
        <v>80</v>
      </c>
      <c r="I18" s="24">
        <v>26.6</v>
      </c>
      <c r="J18" s="19">
        <v>3</v>
      </c>
      <c r="K18" s="24">
        <f t="shared" si="0"/>
        <v>79.800000000000011</v>
      </c>
      <c r="L18" s="20">
        <v>0</v>
      </c>
      <c r="M18" s="45">
        <f t="shared" si="1"/>
        <v>0</v>
      </c>
      <c r="N18" s="24">
        <f t="shared" si="2"/>
        <v>79.800000000000011</v>
      </c>
      <c r="O18" s="20">
        <v>0.24</v>
      </c>
      <c r="P18" s="24">
        <f t="shared" si="3"/>
        <v>19.152000000000001</v>
      </c>
      <c r="Q18" s="23">
        <f t="shared" si="4"/>
        <v>98.952000000000012</v>
      </c>
      <c r="R18" s="7" t="s">
        <v>98</v>
      </c>
      <c r="S18" s="34">
        <v>45545</v>
      </c>
    </row>
    <row r="19" spans="1:19" x14ac:dyDescent="0.35">
      <c r="A19" s="33">
        <v>5</v>
      </c>
      <c r="B19" s="25">
        <v>45541</v>
      </c>
      <c r="C19" s="19">
        <v>3</v>
      </c>
      <c r="D19" s="21" t="s">
        <v>51</v>
      </c>
      <c r="E19" s="22" t="s">
        <v>63</v>
      </c>
      <c r="F19" s="19">
        <v>3333333333</v>
      </c>
      <c r="G19" s="19">
        <v>18</v>
      </c>
      <c r="H19" s="7" t="s">
        <v>81</v>
      </c>
      <c r="I19" s="24">
        <v>68.400000000000006</v>
      </c>
      <c r="J19" s="19">
        <v>2</v>
      </c>
      <c r="K19" s="24">
        <f t="shared" si="0"/>
        <v>136.80000000000001</v>
      </c>
      <c r="L19" s="20">
        <v>0.05</v>
      </c>
      <c r="M19" s="45">
        <f t="shared" si="1"/>
        <v>6.8400000000000007</v>
      </c>
      <c r="N19" s="24">
        <f t="shared" si="2"/>
        <v>129.96</v>
      </c>
      <c r="O19" s="20">
        <v>0.24</v>
      </c>
      <c r="P19" s="24">
        <f t="shared" si="3"/>
        <v>31.1904</v>
      </c>
      <c r="Q19" s="23">
        <f t="shared" si="4"/>
        <v>161.15040000000002</v>
      </c>
      <c r="R19" s="7" t="s">
        <v>97</v>
      </c>
      <c r="S19" s="34">
        <v>45541</v>
      </c>
    </row>
    <row r="20" spans="1:19" x14ac:dyDescent="0.35">
      <c r="A20" s="33">
        <v>6</v>
      </c>
      <c r="B20" s="25">
        <v>45544</v>
      </c>
      <c r="C20" s="19">
        <v>8</v>
      </c>
      <c r="D20" s="21" t="s">
        <v>52</v>
      </c>
      <c r="E20" s="22" t="s">
        <v>64</v>
      </c>
      <c r="F20" s="19">
        <v>8888888888</v>
      </c>
      <c r="G20" s="19">
        <v>23</v>
      </c>
      <c r="H20" s="7" t="s">
        <v>82</v>
      </c>
      <c r="I20" s="24">
        <v>3.8</v>
      </c>
      <c r="J20" s="19">
        <v>10</v>
      </c>
      <c r="K20" s="24">
        <f t="shared" si="0"/>
        <v>38</v>
      </c>
      <c r="L20" s="20">
        <v>0</v>
      </c>
      <c r="M20" s="45">
        <f t="shared" si="1"/>
        <v>0</v>
      </c>
      <c r="N20" s="24">
        <f t="shared" si="2"/>
        <v>38</v>
      </c>
      <c r="O20" s="20">
        <v>0.24</v>
      </c>
      <c r="P20" s="24">
        <f t="shared" si="3"/>
        <v>9.1199999999999992</v>
      </c>
      <c r="Q20" s="23">
        <f t="shared" si="4"/>
        <v>47.12</v>
      </c>
      <c r="R20" s="7" t="s">
        <v>97</v>
      </c>
      <c r="S20" s="34">
        <v>45544</v>
      </c>
    </row>
    <row r="21" spans="1:19" x14ac:dyDescent="0.35">
      <c r="A21" s="33">
        <v>7</v>
      </c>
      <c r="B21" s="25">
        <v>45545</v>
      </c>
      <c r="C21" s="19">
        <v>5</v>
      </c>
      <c r="D21" s="21" t="s">
        <v>53</v>
      </c>
      <c r="E21" s="22" t="s">
        <v>65</v>
      </c>
      <c r="F21" s="19">
        <v>5555555555</v>
      </c>
      <c r="G21" s="19">
        <v>20</v>
      </c>
      <c r="H21" s="7" t="s">
        <v>83</v>
      </c>
      <c r="I21" s="24">
        <v>57</v>
      </c>
      <c r="J21" s="19">
        <v>2</v>
      </c>
      <c r="K21" s="24">
        <f t="shared" si="0"/>
        <v>114</v>
      </c>
      <c r="L21" s="20">
        <v>0.05</v>
      </c>
      <c r="M21" s="45">
        <f t="shared" si="1"/>
        <v>5.7</v>
      </c>
      <c r="N21" s="24">
        <f t="shared" si="2"/>
        <v>108.3</v>
      </c>
      <c r="O21" s="20">
        <v>0.24</v>
      </c>
      <c r="P21" s="24">
        <f t="shared" si="3"/>
        <v>25.991999999999997</v>
      </c>
      <c r="Q21" s="23">
        <f t="shared" si="4"/>
        <v>134.292</v>
      </c>
      <c r="R21" s="7" t="s">
        <v>98</v>
      </c>
      <c r="S21" s="34">
        <v>45545</v>
      </c>
    </row>
    <row r="22" spans="1:19" x14ac:dyDescent="0.35">
      <c r="A22" s="33">
        <v>8</v>
      </c>
      <c r="B22" s="25">
        <v>45546</v>
      </c>
      <c r="C22" s="19">
        <v>6</v>
      </c>
      <c r="D22" s="21" t="s">
        <v>54</v>
      </c>
      <c r="E22" s="22" t="s">
        <v>66</v>
      </c>
      <c r="F22" s="19">
        <v>6666666666</v>
      </c>
      <c r="G22" s="19">
        <v>22</v>
      </c>
      <c r="H22" s="7" t="s">
        <v>84</v>
      </c>
      <c r="I22" s="24">
        <v>0.76</v>
      </c>
      <c r="J22" s="19">
        <v>20</v>
      </c>
      <c r="K22" s="24">
        <f t="shared" si="0"/>
        <v>15.2</v>
      </c>
      <c r="L22" s="20">
        <v>0</v>
      </c>
      <c r="M22" s="45">
        <f t="shared" si="1"/>
        <v>0</v>
      </c>
      <c r="N22" s="24">
        <f t="shared" si="2"/>
        <v>15.2</v>
      </c>
      <c r="O22" s="20">
        <v>0.24</v>
      </c>
      <c r="P22" s="24">
        <f t="shared" si="3"/>
        <v>3.6479999999999997</v>
      </c>
      <c r="Q22" s="23">
        <f t="shared" si="4"/>
        <v>18.847999999999999</v>
      </c>
      <c r="R22" s="7" t="s">
        <v>99</v>
      </c>
      <c r="S22" s="34">
        <v>45546</v>
      </c>
    </row>
    <row r="23" spans="1:19" x14ac:dyDescent="0.35">
      <c r="A23" s="33">
        <v>9</v>
      </c>
      <c r="B23" s="25">
        <v>45547</v>
      </c>
      <c r="C23" s="19">
        <v>7</v>
      </c>
      <c r="D23" s="21" t="s">
        <v>55</v>
      </c>
      <c r="E23" s="22" t="s">
        <v>67</v>
      </c>
      <c r="F23" s="19">
        <v>7777777777</v>
      </c>
      <c r="G23" s="19">
        <v>2</v>
      </c>
      <c r="H23" s="7" t="s">
        <v>77</v>
      </c>
      <c r="I23" s="24">
        <v>26.6</v>
      </c>
      <c r="J23" s="19">
        <v>4</v>
      </c>
      <c r="K23" s="24">
        <f t="shared" si="0"/>
        <v>106.4</v>
      </c>
      <c r="L23" s="20">
        <v>0.05</v>
      </c>
      <c r="M23" s="45">
        <f t="shared" si="1"/>
        <v>5.32</v>
      </c>
      <c r="N23" s="24">
        <f t="shared" si="2"/>
        <v>101.08000000000001</v>
      </c>
      <c r="O23" s="20">
        <v>0.24</v>
      </c>
      <c r="P23" s="24">
        <f t="shared" si="3"/>
        <v>24.259200000000003</v>
      </c>
      <c r="Q23" s="23">
        <f t="shared" si="4"/>
        <v>125.33920000000002</v>
      </c>
      <c r="R23" s="7" t="s">
        <v>97</v>
      </c>
      <c r="S23" s="34">
        <v>45552</v>
      </c>
    </row>
    <row r="24" spans="1:19" x14ac:dyDescent="0.35">
      <c r="A24" s="33">
        <v>10</v>
      </c>
      <c r="B24" s="25">
        <v>45548</v>
      </c>
      <c r="C24" s="19">
        <v>9</v>
      </c>
      <c r="D24" s="21" t="s">
        <v>56</v>
      </c>
      <c r="E24" s="22" t="s">
        <v>68</v>
      </c>
      <c r="F24" s="19">
        <v>9999999999</v>
      </c>
      <c r="G24" s="19">
        <v>24</v>
      </c>
      <c r="H24" s="7" t="s">
        <v>85</v>
      </c>
      <c r="I24" s="24">
        <v>13.68</v>
      </c>
      <c r="J24" s="19">
        <v>6</v>
      </c>
      <c r="K24" s="24">
        <f t="shared" si="0"/>
        <v>82.08</v>
      </c>
      <c r="L24" s="20">
        <v>0</v>
      </c>
      <c r="M24" s="45">
        <f t="shared" si="1"/>
        <v>0</v>
      </c>
      <c r="N24" s="24">
        <f t="shared" si="2"/>
        <v>82.08</v>
      </c>
      <c r="O24" s="20">
        <v>0.24</v>
      </c>
      <c r="P24" s="24">
        <f t="shared" si="3"/>
        <v>19.699199999999998</v>
      </c>
      <c r="Q24" s="23">
        <f t="shared" si="4"/>
        <v>101.7792</v>
      </c>
      <c r="R24" s="7" t="s">
        <v>97</v>
      </c>
      <c r="S24" s="34">
        <v>45553</v>
      </c>
    </row>
    <row r="25" spans="1:19" x14ac:dyDescent="0.35">
      <c r="A25" s="33">
        <v>11</v>
      </c>
      <c r="B25" s="25">
        <v>45551</v>
      </c>
      <c r="C25" s="19">
        <v>11</v>
      </c>
      <c r="D25" s="21" t="s">
        <v>57</v>
      </c>
      <c r="E25" s="22" t="s">
        <v>69</v>
      </c>
      <c r="F25" s="19">
        <v>1101101101</v>
      </c>
      <c r="G25" s="19">
        <v>8</v>
      </c>
      <c r="H25" s="7" t="s">
        <v>76</v>
      </c>
      <c r="I25" s="24">
        <v>68.400000000000006</v>
      </c>
      <c r="J25" s="19">
        <v>1</v>
      </c>
      <c r="K25" s="24">
        <f t="shared" si="0"/>
        <v>68.400000000000006</v>
      </c>
      <c r="L25" s="20">
        <v>0</v>
      </c>
      <c r="M25" s="45">
        <f t="shared" si="1"/>
        <v>0</v>
      </c>
      <c r="N25" s="24">
        <f t="shared" si="2"/>
        <v>68.400000000000006</v>
      </c>
      <c r="O25" s="20">
        <v>0.24</v>
      </c>
      <c r="P25" s="24">
        <f t="shared" si="3"/>
        <v>16.416</v>
      </c>
      <c r="Q25" s="23">
        <f t="shared" si="4"/>
        <v>84.816000000000003</v>
      </c>
      <c r="R25" s="7" t="s">
        <v>98</v>
      </c>
      <c r="S25" s="34">
        <v>45551</v>
      </c>
    </row>
    <row r="26" spans="1:19" x14ac:dyDescent="0.35">
      <c r="A26" s="33">
        <v>12</v>
      </c>
      <c r="B26" s="25">
        <v>45552</v>
      </c>
      <c r="C26" s="19">
        <v>12</v>
      </c>
      <c r="D26" s="21" t="s">
        <v>58</v>
      </c>
      <c r="E26" s="22" t="s">
        <v>70</v>
      </c>
      <c r="F26" s="19">
        <v>1212121212</v>
      </c>
      <c r="G26" s="19">
        <v>5</v>
      </c>
      <c r="H26" s="7" t="s">
        <v>75</v>
      </c>
      <c r="I26" s="24">
        <v>22.8</v>
      </c>
      <c r="J26" s="19">
        <v>2</v>
      </c>
      <c r="K26" s="24">
        <f t="shared" si="0"/>
        <v>45.6</v>
      </c>
      <c r="L26" s="20">
        <v>0.05</v>
      </c>
      <c r="M26" s="45">
        <f t="shared" si="1"/>
        <v>2.2800000000000002</v>
      </c>
      <c r="N26" s="24">
        <f t="shared" si="2"/>
        <v>43.32</v>
      </c>
      <c r="O26" s="20">
        <v>0.24</v>
      </c>
      <c r="P26" s="24">
        <f t="shared" si="3"/>
        <v>10.396799999999999</v>
      </c>
      <c r="Q26" s="23">
        <f t="shared" si="4"/>
        <v>53.716799999999999</v>
      </c>
      <c r="R26" s="7" t="s">
        <v>99</v>
      </c>
      <c r="S26" s="34">
        <v>45555</v>
      </c>
    </row>
    <row r="27" spans="1:19" x14ac:dyDescent="0.35">
      <c r="A27" s="33">
        <v>13</v>
      </c>
      <c r="B27" s="25">
        <v>45553</v>
      </c>
      <c r="C27" s="19">
        <v>13</v>
      </c>
      <c r="D27" s="21" t="s">
        <v>59</v>
      </c>
      <c r="E27" s="22" t="s">
        <v>71</v>
      </c>
      <c r="F27" s="19">
        <v>1313131313</v>
      </c>
      <c r="G27" s="19">
        <v>3</v>
      </c>
      <c r="H27" s="7" t="s">
        <v>86</v>
      </c>
      <c r="I27" s="24">
        <v>5.32</v>
      </c>
      <c r="J27" s="19">
        <v>5</v>
      </c>
      <c r="K27" s="24">
        <f t="shared" si="0"/>
        <v>26.6</v>
      </c>
      <c r="L27" s="20">
        <v>0</v>
      </c>
      <c r="M27" s="45">
        <f t="shared" si="1"/>
        <v>0</v>
      </c>
      <c r="N27" s="24">
        <f t="shared" si="2"/>
        <v>26.6</v>
      </c>
      <c r="O27" s="20">
        <v>0.24</v>
      </c>
      <c r="P27" s="24">
        <f t="shared" si="3"/>
        <v>6.3840000000000003</v>
      </c>
      <c r="Q27" s="23">
        <f t="shared" si="4"/>
        <v>32.984000000000002</v>
      </c>
      <c r="R27" s="7" t="s">
        <v>98</v>
      </c>
      <c r="S27" s="34">
        <v>45558</v>
      </c>
    </row>
    <row r="28" spans="1:19" x14ac:dyDescent="0.35">
      <c r="A28" s="33">
        <v>14</v>
      </c>
      <c r="B28" s="25">
        <v>45554</v>
      </c>
      <c r="C28" s="19">
        <v>4</v>
      </c>
      <c r="D28" s="21" t="s">
        <v>47</v>
      </c>
      <c r="E28" s="22" t="s">
        <v>60</v>
      </c>
      <c r="F28" s="19">
        <v>4444444444</v>
      </c>
      <c r="G28" s="19">
        <v>21</v>
      </c>
      <c r="H28" s="7" t="s">
        <v>87</v>
      </c>
      <c r="I28" s="24">
        <v>76</v>
      </c>
      <c r="J28" s="19">
        <v>1</v>
      </c>
      <c r="K28" s="24">
        <f t="shared" si="0"/>
        <v>76</v>
      </c>
      <c r="L28" s="20">
        <v>0</v>
      </c>
      <c r="M28" s="45">
        <f t="shared" si="1"/>
        <v>0</v>
      </c>
      <c r="N28" s="24">
        <f t="shared" si="2"/>
        <v>76</v>
      </c>
      <c r="O28" s="20">
        <v>0.24</v>
      </c>
      <c r="P28" s="24">
        <f t="shared" si="3"/>
        <v>18.239999999999998</v>
      </c>
      <c r="Q28" s="23">
        <f t="shared" si="4"/>
        <v>94.24</v>
      </c>
      <c r="R28" s="7" t="s">
        <v>97</v>
      </c>
      <c r="S28" s="34">
        <v>45559</v>
      </c>
    </row>
    <row r="29" spans="1:19" x14ac:dyDescent="0.35">
      <c r="A29" s="33">
        <v>15</v>
      </c>
      <c r="B29" s="25">
        <v>45555</v>
      </c>
      <c r="C29" s="19">
        <v>10</v>
      </c>
      <c r="D29" s="21" t="s">
        <v>48</v>
      </c>
      <c r="E29" s="22" t="s">
        <v>61</v>
      </c>
      <c r="F29" s="19">
        <v>1010101010</v>
      </c>
      <c r="G29" s="19">
        <v>6</v>
      </c>
      <c r="H29" s="7" t="s">
        <v>88</v>
      </c>
      <c r="I29" s="24">
        <v>7.6</v>
      </c>
      <c r="J29" s="19">
        <v>8</v>
      </c>
      <c r="K29" s="24">
        <f t="shared" si="0"/>
        <v>60.8</v>
      </c>
      <c r="L29" s="20">
        <v>0</v>
      </c>
      <c r="M29" s="45">
        <f t="shared" si="1"/>
        <v>0</v>
      </c>
      <c r="N29" s="24">
        <f t="shared" si="2"/>
        <v>60.8</v>
      </c>
      <c r="O29" s="20">
        <v>0.24</v>
      </c>
      <c r="P29" s="24">
        <f t="shared" si="3"/>
        <v>14.591999999999999</v>
      </c>
      <c r="Q29" s="23">
        <f t="shared" si="4"/>
        <v>75.391999999999996</v>
      </c>
      <c r="R29" s="7" t="s">
        <v>97</v>
      </c>
      <c r="S29" s="34">
        <v>45560</v>
      </c>
    </row>
    <row r="30" spans="1:19" x14ac:dyDescent="0.35">
      <c r="A30" s="33">
        <v>16</v>
      </c>
      <c r="B30" s="25">
        <v>45558</v>
      </c>
      <c r="C30" s="19">
        <v>1</v>
      </c>
      <c r="D30" s="21" t="s">
        <v>49</v>
      </c>
      <c r="E30" s="22" t="s">
        <v>62</v>
      </c>
      <c r="F30" s="19">
        <v>1111111111</v>
      </c>
      <c r="G30" s="19">
        <v>13</v>
      </c>
      <c r="H30" s="7" t="s">
        <v>74</v>
      </c>
      <c r="I30" s="24">
        <v>0.76</v>
      </c>
      <c r="J30" s="19">
        <v>40</v>
      </c>
      <c r="K30" s="24">
        <f t="shared" si="0"/>
        <v>30.4</v>
      </c>
      <c r="L30" s="20">
        <v>0.1</v>
      </c>
      <c r="M30" s="45">
        <f t="shared" si="1"/>
        <v>3.04</v>
      </c>
      <c r="N30" s="24">
        <f t="shared" si="2"/>
        <v>27.36</v>
      </c>
      <c r="O30" s="20">
        <v>0.24</v>
      </c>
      <c r="P30" s="24">
        <f t="shared" si="3"/>
        <v>6.5663999999999998</v>
      </c>
      <c r="Q30" s="23">
        <f t="shared" si="4"/>
        <v>33.926400000000001</v>
      </c>
      <c r="R30" s="7" t="s">
        <v>99</v>
      </c>
      <c r="S30" s="34">
        <v>45561</v>
      </c>
    </row>
    <row r="31" spans="1:19" x14ac:dyDescent="0.35">
      <c r="A31" s="33">
        <v>17</v>
      </c>
      <c r="B31" s="25">
        <v>45559</v>
      </c>
      <c r="C31" s="19">
        <v>2</v>
      </c>
      <c r="D31" s="21" t="s">
        <v>50</v>
      </c>
      <c r="E31" s="22" t="s">
        <v>72</v>
      </c>
      <c r="F31" s="19">
        <v>2222222222</v>
      </c>
      <c r="G31" s="19">
        <v>11</v>
      </c>
      <c r="H31" s="7" t="s">
        <v>89</v>
      </c>
      <c r="I31" s="24">
        <v>26.6</v>
      </c>
      <c r="J31" s="19">
        <v>3</v>
      </c>
      <c r="K31" s="24">
        <f t="shared" si="0"/>
        <v>79.800000000000011</v>
      </c>
      <c r="L31" s="20">
        <v>0</v>
      </c>
      <c r="M31" s="45">
        <f t="shared" si="1"/>
        <v>0</v>
      </c>
      <c r="N31" s="24">
        <f t="shared" si="2"/>
        <v>79.800000000000011</v>
      </c>
      <c r="O31" s="20">
        <v>0.24</v>
      </c>
      <c r="P31" s="24">
        <f t="shared" si="3"/>
        <v>19.152000000000001</v>
      </c>
      <c r="Q31" s="23">
        <f t="shared" si="4"/>
        <v>98.952000000000012</v>
      </c>
      <c r="R31" s="7" t="s">
        <v>98</v>
      </c>
      <c r="S31" s="34">
        <v>45562</v>
      </c>
    </row>
    <row r="32" spans="1:19" x14ac:dyDescent="0.35">
      <c r="A32" s="33">
        <v>18</v>
      </c>
      <c r="B32" s="25">
        <v>45560</v>
      </c>
      <c r="C32" s="19">
        <v>3</v>
      </c>
      <c r="D32" s="21" t="s">
        <v>51</v>
      </c>
      <c r="E32" s="22" t="s">
        <v>63</v>
      </c>
      <c r="F32" s="19">
        <v>3333333333</v>
      </c>
      <c r="G32" s="19">
        <v>7</v>
      </c>
      <c r="H32" s="7" t="s">
        <v>90</v>
      </c>
      <c r="I32" s="24">
        <v>33.44</v>
      </c>
      <c r="J32" s="19">
        <v>2</v>
      </c>
      <c r="K32" s="24">
        <f t="shared" si="0"/>
        <v>66.88</v>
      </c>
      <c r="L32" s="20">
        <v>0.05</v>
      </c>
      <c r="M32" s="45">
        <f t="shared" si="1"/>
        <v>3.3439999999999999</v>
      </c>
      <c r="N32" s="24">
        <f t="shared" si="2"/>
        <v>63.535999999999994</v>
      </c>
      <c r="O32" s="20">
        <v>0.24</v>
      </c>
      <c r="P32" s="24">
        <f t="shared" si="3"/>
        <v>15.248639999999998</v>
      </c>
      <c r="Q32" s="23">
        <f t="shared" si="4"/>
        <v>78.784639999999996</v>
      </c>
      <c r="R32" s="7" t="s">
        <v>97</v>
      </c>
      <c r="S32" s="34">
        <v>45565</v>
      </c>
    </row>
    <row r="33" spans="1:19" x14ac:dyDescent="0.35">
      <c r="A33" s="33">
        <v>19</v>
      </c>
      <c r="B33" s="25">
        <v>45561</v>
      </c>
      <c r="C33" s="19">
        <v>8</v>
      </c>
      <c r="D33" s="21" t="s">
        <v>52</v>
      </c>
      <c r="E33" s="22" t="s">
        <v>64</v>
      </c>
      <c r="F33" s="19">
        <v>8888888888</v>
      </c>
      <c r="G33" s="19">
        <v>9</v>
      </c>
      <c r="H33" s="7" t="s">
        <v>91</v>
      </c>
      <c r="I33" s="24">
        <v>19</v>
      </c>
      <c r="J33" s="19">
        <v>4</v>
      </c>
      <c r="K33" s="24">
        <f t="shared" si="0"/>
        <v>76</v>
      </c>
      <c r="L33" s="20">
        <v>0</v>
      </c>
      <c r="M33" s="45">
        <f t="shared" si="1"/>
        <v>0</v>
      </c>
      <c r="N33" s="24">
        <f t="shared" si="2"/>
        <v>76</v>
      </c>
      <c r="O33" s="20">
        <v>0.24</v>
      </c>
      <c r="P33" s="24">
        <f t="shared" si="3"/>
        <v>18.239999999999998</v>
      </c>
      <c r="Q33" s="23">
        <f t="shared" si="4"/>
        <v>94.24</v>
      </c>
      <c r="R33" s="7" t="s">
        <v>97</v>
      </c>
      <c r="S33" s="34">
        <v>45566</v>
      </c>
    </row>
    <row r="34" spans="1:19" x14ac:dyDescent="0.35">
      <c r="A34" s="33">
        <v>20</v>
      </c>
      <c r="B34" s="25">
        <v>45562</v>
      </c>
      <c r="C34" s="19">
        <v>5</v>
      </c>
      <c r="D34" s="21" t="s">
        <v>53</v>
      </c>
      <c r="E34" s="22" t="s">
        <v>65</v>
      </c>
      <c r="F34" s="19">
        <v>5555555555</v>
      </c>
      <c r="G34" s="19">
        <v>15</v>
      </c>
      <c r="H34" s="7" t="s">
        <v>92</v>
      </c>
      <c r="I34" s="24">
        <v>7.6</v>
      </c>
      <c r="J34" s="19">
        <v>10</v>
      </c>
      <c r="K34" s="24">
        <f t="shared" si="0"/>
        <v>76</v>
      </c>
      <c r="L34" s="20">
        <v>0.05</v>
      </c>
      <c r="M34" s="45">
        <f t="shared" si="1"/>
        <v>3.8000000000000003</v>
      </c>
      <c r="N34" s="24">
        <f t="shared" si="2"/>
        <v>72.2</v>
      </c>
      <c r="O34" s="20">
        <v>0.24</v>
      </c>
      <c r="P34" s="24">
        <f t="shared" si="3"/>
        <v>17.327999999999999</v>
      </c>
      <c r="Q34" s="23">
        <f t="shared" si="4"/>
        <v>89.528000000000006</v>
      </c>
      <c r="R34" s="7" t="s">
        <v>98</v>
      </c>
      <c r="S34" s="34">
        <v>45567</v>
      </c>
    </row>
    <row r="35" spans="1:19" x14ac:dyDescent="0.35">
      <c r="A35" s="33">
        <v>21</v>
      </c>
      <c r="B35" s="25">
        <v>45565</v>
      </c>
      <c r="C35" s="19">
        <v>6</v>
      </c>
      <c r="D35" s="21" t="s">
        <v>54</v>
      </c>
      <c r="E35" s="22" t="s">
        <v>66</v>
      </c>
      <c r="F35" s="19">
        <v>6666666666</v>
      </c>
      <c r="G35" s="19">
        <v>1</v>
      </c>
      <c r="H35" s="7" t="s">
        <v>93</v>
      </c>
      <c r="I35" s="24">
        <v>15.2</v>
      </c>
      <c r="J35" s="19">
        <v>3</v>
      </c>
      <c r="K35" s="24">
        <f t="shared" si="0"/>
        <v>45.599999999999994</v>
      </c>
      <c r="L35" s="20">
        <v>0</v>
      </c>
      <c r="M35" s="45">
        <f t="shared" si="1"/>
        <v>0</v>
      </c>
      <c r="N35" s="24">
        <f t="shared" si="2"/>
        <v>45.599999999999994</v>
      </c>
      <c r="O35" s="20">
        <v>0.24</v>
      </c>
      <c r="P35" s="24">
        <f t="shared" si="3"/>
        <v>10.943999999999999</v>
      </c>
      <c r="Q35" s="23">
        <f t="shared" si="4"/>
        <v>56.543999999999997</v>
      </c>
      <c r="R35" s="7" t="s">
        <v>99</v>
      </c>
      <c r="S35" s="34">
        <v>45568</v>
      </c>
    </row>
    <row r="36" spans="1:19" x14ac:dyDescent="0.35">
      <c r="A36" s="33">
        <v>22</v>
      </c>
      <c r="B36" s="25">
        <v>45566</v>
      </c>
      <c r="C36" s="19">
        <v>7</v>
      </c>
      <c r="D36" s="21" t="s">
        <v>55</v>
      </c>
      <c r="E36" s="22" t="s">
        <v>67</v>
      </c>
      <c r="F36" s="19">
        <v>7777777777</v>
      </c>
      <c r="G36" s="19">
        <v>17</v>
      </c>
      <c r="H36" s="7" t="s">
        <v>94</v>
      </c>
      <c r="I36" s="24">
        <v>91.2</v>
      </c>
      <c r="J36" s="19">
        <v>1</v>
      </c>
      <c r="K36" s="24">
        <f t="shared" si="0"/>
        <v>91.2</v>
      </c>
      <c r="L36" s="20">
        <v>0</v>
      </c>
      <c r="M36" s="45">
        <f t="shared" si="1"/>
        <v>0</v>
      </c>
      <c r="N36" s="24">
        <f t="shared" si="2"/>
        <v>91.2</v>
      </c>
      <c r="O36" s="20">
        <v>0.24</v>
      </c>
      <c r="P36" s="24">
        <f t="shared" si="3"/>
        <v>21.887999999999998</v>
      </c>
      <c r="Q36" s="23">
        <f t="shared" si="4"/>
        <v>113.08799999999999</v>
      </c>
      <c r="R36" s="7" t="s">
        <v>97</v>
      </c>
      <c r="S36" s="34">
        <v>45569</v>
      </c>
    </row>
    <row r="37" spans="1:19" x14ac:dyDescent="0.35">
      <c r="A37" s="33">
        <v>23</v>
      </c>
      <c r="B37" s="25">
        <v>45567</v>
      </c>
      <c r="C37" s="19">
        <v>9</v>
      </c>
      <c r="D37" s="21" t="s">
        <v>56</v>
      </c>
      <c r="E37" s="22" t="s">
        <v>68</v>
      </c>
      <c r="F37" s="19">
        <v>9999999999</v>
      </c>
      <c r="G37" s="19">
        <v>12</v>
      </c>
      <c r="H37" s="7" t="s">
        <v>95</v>
      </c>
      <c r="I37" s="24">
        <v>30.4</v>
      </c>
      <c r="J37" s="19">
        <v>2</v>
      </c>
      <c r="K37" s="24">
        <f t="shared" si="0"/>
        <v>60.8</v>
      </c>
      <c r="L37" s="20">
        <v>0</v>
      </c>
      <c r="M37" s="45">
        <f t="shared" si="1"/>
        <v>0</v>
      </c>
      <c r="N37" s="24">
        <f t="shared" si="2"/>
        <v>60.8</v>
      </c>
      <c r="O37" s="20">
        <v>0.24</v>
      </c>
      <c r="P37" s="24">
        <f t="shared" si="3"/>
        <v>14.591999999999999</v>
      </c>
      <c r="Q37" s="23">
        <f t="shared" si="4"/>
        <v>75.391999999999996</v>
      </c>
      <c r="R37" s="7" t="s">
        <v>97</v>
      </c>
      <c r="S37" s="34">
        <v>45572</v>
      </c>
    </row>
    <row r="38" spans="1:19" x14ac:dyDescent="0.35">
      <c r="A38" s="33">
        <v>24</v>
      </c>
      <c r="B38" s="25">
        <v>45568</v>
      </c>
      <c r="C38" s="19">
        <v>11</v>
      </c>
      <c r="D38" s="21" t="s">
        <v>57</v>
      </c>
      <c r="E38" s="22" t="s">
        <v>69</v>
      </c>
      <c r="F38" s="19">
        <v>1101101101</v>
      </c>
      <c r="G38" s="19">
        <v>16</v>
      </c>
      <c r="H38" s="7" t="s">
        <v>96</v>
      </c>
      <c r="I38" s="24">
        <v>106.4</v>
      </c>
      <c r="J38" s="19">
        <v>1</v>
      </c>
      <c r="K38" s="24">
        <f t="shared" si="0"/>
        <v>106.4</v>
      </c>
      <c r="L38" s="20">
        <v>0.05</v>
      </c>
      <c r="M38" s="45">
        <f t="shared" si="1"/>
        <v>5.32</v>
      </c>
      <c r="N38" s="24">
        <f t="shared" si="2"/>
        <v>101.08000000000001</v>
      </c>
      <c r="O38" s="20">
        <v>0.24</v>
      </c>
      <c r="P38" s="24">
        <f t="shared" si="3"/>
        <v>24.259200000000003</v>
      </c>
      <c r="Q38" s="23">
        <f t="shared" si="4"/>
        <v>125.33920000000002</v>
      </c>
      <c r="R38" s="7" t="s">
        <v>98</v>
      </c>
      <c r="S38" s="34">
        <v>45568</v>
      </c>
    </row>
    <row r="39" spans="1:19" x14ac:dyDescent="0.35">
      <c r="A39" s="33">
        <v>25</v>
      </c>
      <c r="B39" s="25">
        <v>45569</v>
      </c>
      <c r="C39" s="19">
        <v>12</v>
      </c>
      <c r="D39" s="21" t="s">
        <v>58</v>
      </c>
      <c r="E39" s="22" t="s">
        <v>70</v>
      </c>
      <c r="F39" s="19">
        <v>1212121212</v>
      </c>
      <c r="G39" s="19">
        <v>14</v>
      </c>
      <c r="H39" s="7" t="s">
        <v>73</v>
      </c>
      <c r="I39" s="24">
        <v>9.1199999999999992</v>
      </c>
      <c r="J39" s="19">
        <v>8</v>
      </c>
      <c r="K39" s="24">
        <f t="shared" si="0"/>
        <v>72.959999999999994</v>
      </c>
      <c r="L39" s="20">
        <v>0</v>
      </c>
      <c r="M39" s="45">
        <f t="shared" si="1"/>
        <v>0</v>
      </c>
      <c r="N39" s="24">
        <f t="shared" si="2"/>
        <v>72.959999999999994</v>
      </c>
      <c r="O39" s="20">
        <v>0.24</v>
      </c>
      <c r="P39" s="24">
        <f t="shared" si="3"/>
        <v>17.510399999999997</v>
      </c>
      <c r="Q39" s="23">
        <f t="shared" si="4"/>
        <v>90.470399999999984</v>
      </c>
      <c r="R39" s="7" t="s">
        <v>99</v>
      </c>
      <c r="S39" s="34">
        <v>45569</v>
      </c>
    </row>
    <row r="40" spans="1:19" x14ac:dyDescent="0.35">
      <c r="A40" s="33">
        <v>26</v>
      </c>
      <c r="B40" s="25">
        <v>45572</v>
      </c>
      <c r="C40" s="19">
        <v>13</v>
      </c>
      <c r="D40" s="21" t="s">
        <v>59</v>
      </c>
      <c r="E40" s="22" t="s">
        <v>71</v>
      </c>
      <c r="F40" s="19">
        <v>1313131313</v>
      </c>
      <c r="G40" s="19">
        <v>22</v>
      </c>
      <c r="H40" s="7" t="s">
        <v>84</v>
      </c>
      <c r="I40" s="24">
        <v>0.76</v>
      </c>
      <c r="J40" s="19">
        <v>30</v>
      </c>
      <c r="K40" s="24">
        <f t="shared" si="0"/>
        <v>22.8</v>
      </c>
      <c r="L40" s="20">
        <v>0</v>
      </c>
      <c r="M40" s="45">
        <f t="shared" si="1"/>
        <v>0</v>
      </c>
      <c r="N40" s="24">
        <f t="shared" si="2"/>
        <v>22.8</v>
      </c>
      <c r="O40" s="20">
        <v>0.24</v>
      </c>
      <c r="P40" s="24">
        <f t="shared" si="3"/>
        <v>5.4719999999999995</v>
      </c>
      <c r="Q40" s="23">
        <f t="shared" si="4"/>
        <v>28.271999999999998</v>
      </c>
      <c r="R40" s="7" t="s">
        <v>98</v>
      </c>
      <c r="S40" s="34">
        <v>45572</v>
      </c>
    </row>
    <row r="41" spans="1:19" x14ac:dyDescent="0.35">
      <c r="A41" s="33">
        <v>27</v>
      </c>
      <c r="B41" s="25">
        <v>45573</v>
      </c>
      <c r="C41" s="19">
        <v>4</v>
      </c>
      <c r="D41" s="21" t="s">
        <v>47</v>
      </c>
      <c r="E41" s="22" t="s">
        <v>60</v>
      </c>
      <c r="F41" s="19">
        <v>4444444444</v>
      </c>
      <c r="G41" s="19">
        <v>18</v>
      </c>
      <c r="H41" s="7" t="s">
        <v>81</v>
      </c>
      <c r="I41" s="24">
        <v>68.400000000000006</v>
      </c>
      <c r="J41" s="19">
        <v>3</v>
      </c>
      <c r="K41" s="24">
        <f t="shared" si="0"/>
        <v>205.20000000000002</v>
      </c>
      <c r="L41" s="20">
        <v>0.05</v>
      </c>
      <c r="M41" s="45">
        <f t="shared" si="1"/>
        <v>10.260000000000002</v>
      </c>
      <c r="N41" s="24">
        <f t="shared" si="2"/>
        <v>194.94000000000003</v>
      </c>
      <c r="O41" s="20">
        <v>0.24</v>
      </c>
      <c r="P41" s="24">
        <f t="shared" si="3"/>
        <v>46.785600000000002</v>
      </c>
      <c r="Q41" s="23">
        <f t="shared" si="4"/>
        <v>241.72560000000004</v>
      </c>
      <c r="R41" s="7" t="s">
        <v>97</v>
      </c>
      <c r="S41" s="34">
        <v>45576</v>
      </c>
    </row>
    <row r="42" spans="1:19" x14ac:dyDescent="0.35">
      <c r="A42" s="33">
        <v>28</v>
      </c>
      <c r="B42" s="25">
        <v>45574</v>
      </c>
      <c r="C42" s="19">
        <v>10</v>
      </c>
      <c r="D42" s="21" t="s">
        <v>48</v>
      </c>
      <c r="E42" s="22" t="s">
        <v>61</v>
      </c>
      <c r="F42" s="19">
        <v>1010101010</v>
      </c>
      <c r="G42" s="19">
        <v>19</v>
      </c>
      <c r="H42" s="7" t="s">
        <v>79</v>
      </c>
      <c r="I42" s="24">
        <v>11.4</v>
      </c>
      <c r="J42" s="19">
        <v>6</v>
      </c>
      <c r="K42" s="24">
        <f t="shared" si="0"/>
        <v>68.400000000000006</v>
      </c>
      <c r="L42" s="20">
        <v>0</v>
      </c>
      <c r="M42" s="45">
        <f t="shared" si="1"/>
        <v>0</v>
      </c>
      <c r="N42" s="24">
        <f t="shared" si="2"/>
        <v>68.400000000000006</v>
      </c>
      <c r="O42" s="20">
        <v>0.24</v>
      </c>
      <c r="P42" s="24">
        <f t="shared" si="3"/>
        <v>16.416</v>
      </c>
      <c r="Q42" s="23">
        <f t="shared" si="4"/>
        <v>84.816000000000003</v>
      </c>
      <c r="R42" s="7" t="s">
        <v>97</v>
      </c>
      <c r="S42" s="34">
        <v>45579</v>
      </c>
    </row>
    <row r="43" spans="1:19" x14ac:dyDescent="0.35">
      <c r="A43" s="33">
        <v>29</v>
      </c>
      <c r="B43" s="25">
        <v>45575</v>
      </c>
      <c r="C43" s="19">
        <v>1</v>
      </c>
      <c r="D43" s="21" t="s">
        <v>49</v>
      </c>
      <c r="E43" s="22" t="s">
        <v>62</v>
      </c>
      <c r="F43" s="19">
        <v>1111111111</v>
      </c>
      <c r="G43" s="19">
        <v>23</v>
      </c>
      <c r="H43" s="7" t="s">
        <v>82</v>
      </c>
      <c r="I43" s="24">
        <v>3.8</v>
      </c>
      <c r="J43" s="19">
        <v>12</v>
      </c>
      <c r="K43" s="24">
        <f t="shared" si="0"/>
        <v>45.599999999999994</v>
      </c>
      <c r="L43" s="20">
        <v>0</v>
      </c>
      <c r="M43" s="45">
        <f t="shared" si="1"/>
        <v>0</v>
      </c>
      <c r="N43" s="24">
        <f t="shared" si="2"/>
        <v>45.599999999999994</v>
      </c>
      <c r="O43" s="20">
        <v>0.24</v>
      </c>
      <c r="P43" s="24">
        <f t="shared" si="3"/>
        <v>10.943999999999999</v>
      </c>
      <c r="Q43" s="23">
        <f t="shared" si="4"/>
        <v>56.543999999999997</v>
      </c>
      <c r="R43" s="7" t="s">
        <v>99</v>
      </c>
      <c r="S43" s="34">
        <v>45580</v>
      </c>
    </row>
    <row r="44" spans="1:19" x14ac:dyDescent="0.35">
      <c r="A44" s="33">
        <v>30</v>
      </c>
      <c r="B44" s="25">
        <v>45576</v>
      </c>
      <c r="C44" s="19">
        <v>2</v>
      </c>
      <c r="D44" s="21" t="s">
        <v>50</v>
      </c>
      <c r="E44" s="22" t="s">
        <v>72</v>
      </c>
      <c r="F44" s="19">
        <v>2222222222</v>
      </c>
      <c r="G44" s="19">
        <v>4</v>
      </c>
      <c r="H44" s="7" t="s">
        <v>80</v>
      </c>
      <c r="I44" s="24">
        <v>26.6</v>
      </c>
      <c r="J44" s="19">
        <v>2</v>
      </c>
      <c r="K44" s="24">
        <f t="shared" si="0"/>
        <v>53.2</v>
      </c>
      <c r="L44" s="20">
        <v>0</v>
      </c>
      <c r="M44" s="45">
        <f t="shared" si="1"/>
        <v>0</v>
      </c>
      <c r="N44" s="24">
        <f t="shared" si="2"/>
        <v>53.2</v>
      </c>
      <c r="O44" s="20">
        <v>0.24</v>
      </c>
      <c r="P44" s="24">
        <f t="shared" si="3"/>
        <v>12.768000000000001</v>
      </c>
      <c r="Q44" s="23">
        <f t="shared" si="4"/>
        <v>65.968000000000004</v>
      </c>
      <c r="R44" s="7" t="s">
        <v>98</v>
      </c>
      <c r="S44" s="34">
        <v>45581</v>
      </c>
    </row>
    <row r="45" spans="1:19" x14ac:dyDescent="0.35">
      <c r="A45" s="33">
        <v>31</v>
      </c>
      <c r="B45" s="25">
        <v>45579</v>
      </c>
      <c r="C45" s="19">
        <v>3</v>
      </c>
      <c r="D45" s="21" t="s">
        <v>51</v>
      </c>
      <c r="E45" s="22" t="s">
        <v>63</v>
      </c>
      <c r="F45" s="19">
        <v>3333333333</v>
      </c>
      <c r="G45" s="19">
        <v>10</v>
      </c>
      <c r="H45" s="7" t="s">
        <v>78</v>
      </c>
      <c r="I45" s="24">
        <v>45.6</v>
      </c>
      <c r="J45" s="19">
        <v>2</v>
      </c>
      <c r="K45" s="24">
        <f t="shared" si="0"/>
        <v>91.2</v>
      </c>
      <c r="L45" s="20">
        <v>0.05</v>
      </c>
      <c r="M45" s="45">
        <f t="shared" si="1"/>
        <v>4.5600000000000005</v>
      </c>
      <c r="N45" s="24">
        <f t="shared" si="2"/>
        <v>86.64</v>
      </c>
      <c r="O45" s="20">
        <v>0.24</v>
      </c>
      <c r="P45" s="24">
        <f t="shared" si="3"/>
        <v>20.793599999999998</v>
      </c>
      <c r="Q45" s="23">
        <f t="shared" si="4"/>
        <v>107.4336</v>
      </c>
      <c r="R45" s="7" t="s">
        <v>97</v>
      </c>
      <c r="S45" s="34">
        <v>45582</v>
      </c>
    </row>
    <row r="46" spans="1:19" x14ac:dyDescent="0.35">
      <c r="A46" s="33">
        <v>32</v>
      </c>
      <c r="B46" s="25">
        <v>45580</v>
      </c>
      <c r="C46" s="19">
        <v>8</v>
      </c>
      <c r="D46" s="21" t="s">
        <v>52</v>
      </c>
      <c r="E46" s="22" t="s">
        <v>64</v>
      </c>
      <c r="F46" s="19">
        <v>8888888888</v>
      </c>
      <c r="G46" s="19">
        <v>24</v>
      </c>
      <c r="H46" s="7" t="s">
        <v>85</v>
      </c>
      <c r="I46" s="24">
        <v>13.68</v>
      </c>
      <c r="J46" s="19">
        <v>5</v>
      </c>
      <c r="K46" s="24">
        <f t="shared" si="0"/>
        <v>68.400000000000006</v>
      </c>
      <c r="L46" s="20">
        <v>0</v>
      </c>
      <c r="M46" s="45">
        <f t="shared" si="1"/>
        <v>0</v>
      </c>
      <c r="N46" s="24">
        <f t="shared" si="2"/>
        <v>68.400000000000006</v>
      </c>
      <c r="O46" s="20">
        <v>0.24</v>
      </c>
      <c r="P46" s="24">
        <f t="shared" si="3"/>
        <v>16.416</v>
      </c>
      <c r="Q46" s="23">
        <f t="shared" si="4"/>
        <v>84.816000000000003</v>
      </c>
      <c r="R46" s="7" t="s">
        <v>97</v>
      </c>
      <c r="S46" s="34">
        <v>45583</v>
      </c>
    </row>
    <row r="47" spans="1:19" x14ac:dyDescent="0.35">
      <c r="A47" s="33">
        <v>33</v>
      </c>
      <c r="B47" s="25">
        <v>45581</v>
      </c>
      <c r="C47" s="19">
        <v>5</v>
      </c>
      <c r="D47" s="21" t="s">
        <v>53</v>
      </c>
      <c r="E47" s="22" t="s">
        <v>65</v>
      </c>
      <c r="F47" s="19">
        <v>5555555555</v>
      </c>
      <c r="G47" s="19">
        <v>20</v>
      </c>
      <c r="H47" s="7" t="s">
        <v>83</v>
      </c>
      <c r="I47" s="24">
        <v>57</v>
      </c>
      <c r="J47" s="19">
        <v>1</v>
      </c>
      <c r="K47" s="24">
        <f t="shared" si="0"/>
        <v>57</v>
      </c>
      <c r="L47" s="20">
        <v>0</v>
      </c>
      <c r="M47" s="45">
        <f t="shared" si="1"/>
        <v>0</v>
      </c>
      <c r="N47" s="24">
        <f t="shared" si="2"/>
        <v>57</v>
      </c>
      <c r="O47" s="20">
        <v>0.24</v>
      </c>
      <c r="P47" s="24">
        <f t="shared" si="3"/>
        <v>13.68</v>
      </c>
      <c r="Q47" s="23">
        <f t="shared" si="4"/>
        <v>70.680000000000007</v>
      </c>
      <c r="R47" s="7" t="s">
        <v>98</v>
      </c>
      <c r="S47" s="34">
        <v>45586</v>
      </c>
    </row>
    <row r="48" spans="1:19" x14ac:dyDescent="0.35">
      <c r="A48" s="33">
        <v>34</v>
      </c>
      <c r="B48" s="25">
        <v>45582</v>
      </c>
      <c r="C48" s="19">
        <v>6</v>
      </c>
      <c r="D48" s="21" t="s">
        <v>54</v>
      </c>
      <c r="E48" s="22" t="s">
        <v>66</v>
      </c>
      <c r="F48" s="19">
        <v>6666666666</v>
      </c>
      <c r="G48" s="19">
        <v>3</v>
      </c>
      <c r="H48" s="7" t="s">
        <v>86</v>
      </c>
      <c r="I48" s="24">
        <v>5.32</v>
      </c>
      <c r="J48" s="19">
        <v>10</v>
      </c>
      <c r="K48" s="24">
        <f t="shared" si="0"/>
        <v>53.2</v>
      </c>
      <c r="L48" s="20">
        <v>0</v>
      </c>
      <c r="M48" s="45">
        <f t="shared" si="1"/>
        <v>0</v>
      </c>
      <c r="N48" s="24">
        <f t="shared" si="2"/>
        <v>53.2</v>
      </c>
      <c r="O48" s="20">
        <v>0.24</v>
      </c>
      <c r="P48" s="24">
        <f t="shared" si="3"/>
        <v>12.768000000000001</v>
      </c>
      <c r="Q48" s="23">
        <f t="shared" si="4"/>
        <v>65.968000000000004</v>
      </c>
      <c r="R48" s="7" t="s">
        <v>99</v>
      </c>
      <c r="S48" s="34">
        <v>45587</v>
      </c>
    </row>
    <row r="49" spans="1:19" x14ac:dyDescent="0.35">
      <c r="A49" s="33">
        <v>35</v>
      </c>
      <c r="B49" s="25">
        <v>45583</v>
      </c>
      <c r="C49" s="19">
        <v>7</v>
      </c>
      <c r="D49" s="21" t="s">
        <v>55</v>
      </c>
      <c r="E49" s="22" t="s">
        <v>67</v>
      </c>
      <c r="F49" s="19">
        <v>7777777777</v>
      </c>
      <c r="G49" s="19">
        <v>2</v>
      </c>
      <c r="H49" s="7" t="s">
        <v>77</v>
      </c>
      <c r="I49" s="24">
        <v>26.6</v>
      </c>
      <c r="J49" s="19">
        <v>3</v>
      </c>
      <c r="K49" s="24">
        <f t="shared" si="0"/>
        <v>79.800000000000011</v>
      </c>
      <c r="L49" s="20">
        <v>0.05</v>
      </c>
      <c r="M49" s="45">
        <f t="shared" si="1"/>
        <v>3.9900000000000007</v>
      </c>
      <c r="N49" s="24">
        <f t="shared" si="2"/>
        <v>75.810000000000016</v>
      </c>
      <c r="O49" s="20">
        <v>0.24</v>
      </c>
      <c r="P49" s="24">
        <f t="shared" si="3"/>
        <v>18.194400000000002</v>
      </c>
      <c r="Q49" s="23">
        <f t="shared" si="4"/>
        <v>94.004400000000018</v>
      </c>
      <c r="R49" s="7" t="s">
        <v>97</v>
      </c>
      <c r="S49" s="34">
        <v>45588</v>
      </c>
    </row>
    <row r="50" spans="1:19" x14ac:dyDescent="0.35">
      <c r="A50" s="33">
        <v>36</v>
      </c>
      <c r="B50" s="25">
        <v>45586</v>
      </c>
      <c r="C50" s="19">
        <v>9</v>
      </c>
      <c r="D50" s="21" t="s">
        <v>56</v>
      </c>
      <c r="E50" s="22" t="s">
        <v>68</v>
      </c>
      <c r="F50" s="19">
        <v>9999999999</v>
      </c>
      <c r="G50" s="19">
        <v>21</v>
      </c>
      <c r="H50" s="7" t="s">
        <v>87</v>
      </c>
      <c r="I50" s="24">
        <v>76</v>
      </c>
      <c r="J50" s="19">
        <v>1</v>
      </c>
      <c r="K50" s="24">
        <f t="shared" si="0"/>
        <v>76</v>
      </c>
      <c r="L50" s="20">
        <v>0</v>
      </c>
      <c r="M50" s="45">
        <f t="shared" si="1"/>
        <v>0</v>
      </c>
      <c r="N50" s="24">
        <f t="shared" si="2"/>
        <v>76</v>
      </c>
      <c r="O50" s="20">
        <v>0.24</v>
      </c>
      <c r="P50" s="24">
        <f t="shared" si="3"/>
        <v>18.239999999999998</v>
      </c>
      <c r="Q50" s="23">
        <f t="shared" si="4"/>
        <v>94.24</v>
      </c>
      <c r="R50" s="7" t="s">
        <v>97</v>
      </c>
      <c r="S50" s="34">
        <v>45589</v>
      </c>
    </row>
    <row r="51" spans="1:19" x14ac:dyDescent="0.35">
      <c r="A51" s="33">
        <v>37</v>
      </c>
      <c r="B51" s="25">
        <v>45587</v>
      </c>
      <c r="C51" s="19">
        <v>11</v>
      </c>
      <c r="D51" s="21" t="s">
        <v>57</v>
      </c>
      <c r="E51" s="22" t="s">
        <v>69</v>
      </c>
      <c r="F51" s="19">
        <v>1101101101</v>
      </c>
      <c r="G51" s="19">
        <v>8</v>
      </c>
      <c r="H51" s="7" t="s">
        <v>76</v>
      </c>
      <c r="I51" s="24">
        <v>68.400000000000006</v>
      </c>
      <c r="J51" s="19">
        <v>2</v>
      </c>
      <c r="K51" s="24">
        <f t="shared" si="0"/>
        <v>136.80000000000001</v>
      </c>
      <c r="L51" s="20">
        <v>0</v>
      </c>
      <c r="M51" s="45">
        <f t="shared" si="1"/>
        <v>0</v>
      </c>
      <c r="N51" s="24">
        <f t="shared" si="2"/>
        <v>136.80000000000001</v>
      </c>
      <c r="O51" s="20">
        <v>0.24</v>
      </c>
      <c r="P51" s="24">
        <f t="shared" si="3"/>
        <v>32.832000000000001</v>
      </c>
      <c r="Q51" s="23">
        <f t="shared" si="4"/>
        <v>169.63200000000001</v>
      </c>
      <c r="R51" s="7" t="s">
        <v>98</v>
      </c>
      <c r="S51" s="34">
        <v>45590</v>
      </c>
    </row>
    <row r="52" spans="1:19" x14ac:dyDescent="0.35">
      <c r="A52" s="33">
        <v>38</v>
      </c>
      <c r="B52" s="25">
        <v>45588</v>
      </c>
      <c r="C52" s="19">
        <v>12</v>
      </c>
      <c r="D52" s="21" t="s">
        <v>58</v>
      </c>
      <c r="E52" s="22" t="s">
        <v>70</v>
      </c>
      <c r="F52" s="19">
        <v>1212121212</v>
      </c>
      <c r="G52" s="19">
        <v>5</v>
      </c>
      <c r="H52" s="7" t="s">
        <v>75</v>
      </c>
      <c r="I52" s="24">
        <v>22.8</v>
      </c>
      <c r="J52" s="19">
        <v>1</v>
      </c>
      <c r="K52" s="24">
        <f t="shared" si="0"/>
        <v>22.8</v>
      </c>
      <c r="L52" s="20">
        <v>0</v>
      </c>
      <c r="M52" s="45">
        <f t="shared" si="1"/>
        <v>0</v>
      </c>
      <c r="N52" s="24">
        <f t="shared" si="2"/>
        <v>22.8</v>
      </c>
      <c r="O52" s="20">
        <v>0.24</v>
      </c>
      <c r="P52" s="24">
        <f t="shared" si="3"/>
        <v>5.4719999999999995</v>
      </c>
      <c r="Q52" s="23">
        <f t="shared" si="4"/>
        <v>28.271999999999998</v>
      </c>
      <c r="R52" s="7" t="s">
        <v>99</v>
      </c>
      <c r="S52" s="34">
        <v>45588</v>
      </c>
    </row>
    <row r="53" spans="1:19" x14ac:dyDescent="0.35">
      <c r="A53" s="33">
        <v>39</v>
      </c>
      <c r="B53" s="25">
        <v>45589</v>
      </c>
      <c r="C53" s="19">
        <v>13</v>
      </c>
      <c r="D53" s="21" t="s">
        <v>59</v>
      </c>
      <c r="E53" s="22" t="s">
        <v>71</v>
      </c>
      <c r="F53" s="19">
        <v>1313131313</v>
      </c>
      <c r="G53" s="19">
        <v>13</v>
      </c>
      <c r="H53" s="7" t="s">
        <v>74</v>
      </c>
      <c r="I53" s="24">
        <v>0.76</v>
      </c>
      <c r="J53" s="19">
        <v>25</v>
      </c>
      <c r="K53" s="24">
        <f t="shared" si="0"/>
        <v>19</v>
      </c>
      <c r="L53" s="20">
        <v>0</v>
      </c>
      <c r="M53" s="45">
        <f t="shared" si="1"/>
        <v>0</v>
      </c>
      <c r="N53" s="24">
        <f t="shared" si="2"/>
        <v>19</v>
      </c>
      <c r="O53" s="20">
        <v>0.24</v>
      </c>
      <c r="P53" s="24">
        <f t="shared" si="3"/>
        <v>4.5599999999999996</v>
      </c>
      <c r="Q53" s="23">
        <f t="shared" si="4"/>
        <v>23.56</v>
      </c>
      <c r="R53" s="7" t="s">
        <v>98</v>
      </c>
      <c r="S53" s="34">
        <v>45589</v>
      </c>
    </row>
    <row r="54" spans="1:19" ht="15" thickBot="1" x14ac:dyDescent="0.4">
      <c r="A54" s="35">
        <v>40</v>
      </c>
      <c r="B54" s="36">
        <v>45590</v>
      </c>
      <c r="C54" s="37">
        <v>4</v>
      </c>
      <c r="D54" s="38" t="s">
        <v>47</v>
      </c>
      <c r="E54" s="39" t="s">
        <v>60</v>
      </c>
      <c r="F54" s="37">
        <v>4444444444</v>
      </c>
      <c r="G54" s="37">
        <v>14</v>
      </c>
      <c r="H54" s="40" t="s">
        <v>73</v>
      </c>
      <c r="I54" s="41">
        <v>9.1199999999999992</v>
      </c>
      <c r="J54" s="37">
        <v>20</v>
      </c>
      <c r="K54" s="41">
        <f t="shared" si="0"/>
        <v>182.39999999999998</v>
      </c>
      <c r="L54" s="42">
        <v>0.1</v>
      </c>
      <c r="M54" s="45">
        <f t="shared" si="1"/>
        <v>18.239999999999998</v>
      </c>
      <c r="N54" s="41">
        <f t="shared" si="2"/>
        <v>164.15999999999997</v>
      </c>
      <c r="O54" s="42">
        <v>0.24</v>
      </c>
      <c r="P54" s="41">
        <f t="shared" si="3"/>
        <v>39.398399999999988</v>
      </c>
      <c r="Q54" s="43">
        <f t="shared" si="4"/>
        <v>203.55839999999995</v>
      </c>
      <c r="R54" s="40" t="s">
        <v>97</v>
      </c>
      <c r="S54" s="44">
        <v>45590</v>
      </c>
    </row>
  </sheetData>
  <phoneticPr fontId="8" type="noConversion"/>
  <hyperlinks>
    <hyperlink ref="E15" r:id="rId1" xr:uid="{E84F3FAA-9A68-41C6-9E8A-2EECB4F1F266}"/>
    <hyperlink ref="E16" r:id="rId2" xr:uid="{23FCEB2F-CFEA-4B82-B1D8-754C1BECD5BD}"/>
    <hyperlink ref="E17" r:id="rId3" xr:uid="{A9B33154-10D4-4223-AA6E-A98E0DAA1F6B}"/>
    <hyperlink ref="E18" r:id="rId4" xr:uid="{6AAC22D0-8885-4B1E-9C6A-A6A5D208C5EC}"/>
    <hyperlink ref="E19" r:id="rId5" xr:uid="{5DEEA2D0-8824-4D10-B4AC-EEB42DCBA7A9}"/>
    <hyperlink ref="E20" r:id="rId6" xr:uid="{4377FE66-7059-42C4-A4EC-3D8626D698AD}"/>
    <hyperlink ref="E21" r:id="rId7" xr:uid="{DF2B41EF-8DBC-447A-AE5A-DFF44635D593}"/>
    <hyperlink ref="E22" r:id="rId8" xr:uid="{A20348C9-ED4E-403D-90A1-BEB1D153E70A}"/>
    <hyperlink ref="E23" r:id="rId9" xr:uid="{79EB6026-406D-499E-90FF-F70565875DA9}"/>
    <hyperlink ref="E24" r:id="rId10" xr:uid="{61C4C748-9474-4005-9571-E8515EEEACF8}"/>
    <hyperlink ref="E25" r:id="rId11" xr:uid="{A4F717E0-E5E4-4004-888A-21F2DE921345}"/>
    <hyperlink ref="E26" r:id="rId12" xr:uid="{79F32BDD-DDA2-49AE-BDF8-A5411EDC8286}"/>
    <hyperlink ref="E27" r:id="rId13" xr:uid="{0CF9CE4C-9538-4727-89A1-6AE658F792CE}"/>
    <hyperlink ref="E28" r:id="rId14" xr:uid="{54D897DA-63F1-4635-BD2F-6C2CE8F90206}"/>
    <hyperlink ref="E29" r:id="rId15" xr:uid="{8BE4C2D4-B1EF-4A37-B0EC-34138F4A2C0E}"/>
    <hyperlink ref="E30" r:id="rId16" xr:uid="{74FC163C-D70F-4C50-8C10-08771E9DBDAD}"/>
    <hyperlink ref="E31" r:id="rId17" xr:uid="{EB4EA23D-B23F-4AEB-9FF9-B63DFA9A89FB}"/>
    <hyperlink ref="E32" r:id="rId18" xr:uid="{45656D48-9B94-4617-8F31-AF2ED2C10F55}"/>
    <hyperlink ref="E33" r:id="rId19" xr:uid="{B6B9AEF5-6DA1-4884-B9A4-04993BF6849F}"/>
    <hyperlink ref="E34" r:id="rId20" xr:uid="{B8CA4347-79F4-4A45-B463-A105B7E39DD5}"/>
    <hyperlink ref="E35" r:id="rId21" xr:uid="{D858887D-6991-45F4-BF5A-0238A1E881CB}"/>
    <hyperlink ref="E36" r:id="rId22" xr:uid="{7DA718B7-806A-4CCD-934C-0CA92EBE9C1E}"/>
    <hyperlink ref="E37" r:id="rId23" xr:uid="{870E0F10-742B-4503-8D38-FBD6B3CA4CEB}"/>
    <hyperlink ref="E38" r:id="rId24" xr:uid="{353F8E26-28D6-4CF0-A14B-24DB02E8C559}"/>
    <hyperlink ref="E39" r:id="rId25" xr:uid="{F447450E-D3F1-4E74-8E4C-485A5647C521}"/>
    <hyperlink ref="E40" r:id="rId26" xr:uid="{5F5A88D2-D64B-4756-89F5-F5284636E968}"/>
    <hyperlink ref="E41" r:id="rId27" xr:uid="{A48C58CD-3AF2-4BE3-A3F4-77BD12DD2A70}"/>
    <hyperlink ref="E42" r:id="rId28" xr:uid="{803A6096-8D68-49B9-B92E-F5D0C2D3B4D9}"/>
    <hyperlink ref="E43" r:id="rId29" xr:uid="{A47D6FB9-10D4-406A-BC53-D3A413C0E310}"/>
    <hyperlink ref="E44" r:id="rId30" xr:uid="{F39FB092-B4C0-4D2D-91BB-17BFD9CB8940}"/>
    <hyperlink ref="E45" r:id="rId31" xr:uid="{793F4F42-324F-4C6A-9770-9120D658ED1D}"/>
    <hyperlink ref="E46" r:id="rId32" xr:uid="{2F494761-0CF3-4881-A3B0-8587B6FF9450}"/>
    <hyperlink ref="E47" r:id="rId33" xr:uid="{A5CBE675-33FC-4639-ACDA-102EBFB09994}"/>
    <hyperlink ref="E48" r:id="rId34" xr:uid="{A700CCD2-F0E9-4F9D-AB53-FCA60670CDAC}"/>
    <hyperlink ref="E49" r:id="rId35" xr:uid="{5BD8F889-BBAC-4B62-9DCA-6AA1321ACE33}"/>
    <hyperlink ref="E50" r:id="rId36" xr:uid="{CD2C1E87-02C2-4487-AECC-383581D20A87}"/>
    <hyperlink ref="E51" r:id="rId37" xr:uid="{7EE333DA-B92A-4926-8D8B-B6B3089CD1E7}"/>
    <hyperlink ref="E52" r:id="rId38" xr:uid="{E3F47D75-E15C-4707-BAE7-379F3D956C91}"/>
    <hyperlink ref="E53" r:id="rId39" xr:uid="{58ACDB16-A235-44A0-B25A-1A413C5F4662}"/>
    <hyperlink ref="E54" r:id="rId40" xr:uid="{87A90328-9081-4AB3-96A6-342B5E097B13}"/>
  </hyperlinks>
  <pageMargins left="0.25" right="0.25" top="0.75" bottom="0.75" header="0.3" footer="0.3"/>
  <pageSetup paperSize="9" scale="60" orientation="portrait" horizontalDpi="0" verticalDpi="0" r:id="rId41"/>
  <drawing r:id="rId42"/>
  <tableParts count="1"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Καθορισμένες περιοχές</vt:lpstr>
      </vt:variant>
      <vt:variant>
        <vt:i4>1</vt:i4>
      </vt:variant>
    </vt:vector>
  </HeadingPairs>
  <TitlesOfParts>
    <vt:vector size="2" baseType="lpstr">
      <vt:lpstr>Φύλλο1</vt:lpstr>
      <vt:lpstr>Φύλλο1!Print_Area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Georgia Devetzi</dc:creator>
  <cp:lastModifiedBy>Georgia Devetzi</cp:lastModifiedBy>
  <dcterms:created xsi:type="dcterms:W3CDTF">2025-01-15T23:41:19Z</dcterms:created>
  <dcterms:modified xsi:type="dcterms:W3CDTF">2026-03-23T16:47:14Z</dcterms:modified>
</cp:coreProperties>
</file>