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30bf89f2ff6c8a9/Υπολογιστής/a folder/DEVETZIS ELECTRO SERVICE/"/>
    </mc:Choice>
  </mc:AlternateContent>
  <xr:revisionPtr revIDLastSave="267" documentId="11_AD4DCBB4A06381AAC71CFC905650D4C6683EDF21" xr6:coauthVersionLast="47" xr6:coauthVersionMax="47" xr10:uidLastSave="{12E775C3-DA8D-4DC1-B964-83A0078C0CF4}"/>
  <bookViews>
    <workbookView xWindow="-110" yWindow="-110" windowWidth="25820" windowHeight="13900" xr2:uid="{00000000-000D-0000-FFFF-FFFF00000000}"/>
  </bookViews>
  <sheets>
    <sheet name="Φύλλο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7" i="1"/>
  <c r="B46" i="1"/>
  <c r="B21" i="1"/>
  <c r="B27" i="1"/>
  <c r="B26" i="1" l="1"/>
  <c r="B25" i="1"/>
  <c r="B24" i="1"/>
  <c r="B23" i="1"/>
  <c r="B22" i="1"/>
</calcChain>
</file>

<file path=xl/sharedStrings.xml><?xml version="1.0" encoding="utf-8"?>
<sst xmlns="http://schemas.openxmlformats.org/spreadsheetml/2006/main" count="46" uniqueCount="43">
  <si>
    <t>Metric</t>
  </si>
  <si>
    <t>Value</t>
  </si>
  <si>
    <t>Total Orders</t>
  </si>
  <si>
    <t>Total Revenue (€)</t>
  </si>
  <si>
    <t>Total VAT (€)</t>
  </si>
  <si>
    <t>Average Order Value (€)</t>
  </si>
  <si>
    <t>Product Name</t>
  </si>
  <si>
    <t>Units Sold</t>
  </si>
  <si>
    <t xml:space="preserve">SALES SUMMARY </t>
  </si>
  <si>
    <t xml:space="preserve"> TOP PRODUCTS </t>
  </si>
  <si>
    <t>REPORTS</t>
  </si>
  <si>
    <t>ΔΕΒΕΤΖΗΣ Δ. ΙΩΑΝΝΗΣ</t>
  </si>
  <si>
    <t>SERVICE - ΑΝΤΑΛΛΑΚΤΙΚΆ - ΕΙΣΑΓΩΓΕΣ</t>
  </si>
  <si>
    <t>28ης Οκτωβρίου 17 - Νεάπολη Κοζάνης</t>
  </si>
  <si>
    <t>Τηλ. 2468023283  -  Κιν.6947201129 - 6944951639</t>
  </si>
  <si>
    <t>email: devetzis.service@gmail.com</t>
  </si>
  <si>
    <t>www.devetzis-service.gr  -  ΓΕΜΗ :010898436000</t>
  </si>
  <si>
    <t>Α.Φ.Μ.: 039104283        Δ.Ο.Υ: ΚΟΖΑΝΗΣ</t>
  </si>
  <si>
    <t>Τράπεζα Πειραιώς : GR5601712400006240148942865</t>
  </si>
  <si>
    <t>Τράπεζα Alpha : GR9201405360536002002002491</t>
  </si>
  <si>
    <t xml:space="preserve">ΚΑΛΩΔΙΑ ΗΧΕΙΩΝ </t>
  </si>
  <si>
    <t xml:space="preserve">ΣΩΛΙΝΑΣ ΑΕΡΟΣ </t>
  </si>
  <si>
    <t xml:space="preserve">ΛΑΔΙΑ </t>
  </si>
  <si>
    <t xml:space="preserve">ΥΓΡΑ ΠΙΤΣΙΛΙΘΡΑΣ </t>
  </si>
  <si>
    <t xml:space="preserve">ΡΕΛΕ </t>
  </si>
  <si>
    <t>Max Order (€)</t>
  </si>
  <si>
    <t>Min Order (€)</t>
  </si>
  <si>
    <t>Total Net Revenue (€)</t>
  </si>
  <si>
    <t>Category</t>
  </si>
  <si>
    <t>Ηλεκτρικά Εξαρτήματα</t>
  </si>
  <si>
    <t>Σύστημα Αέρα</t>
  </si>
  <si>
    <t>Υγρά Οχημάτων</t>
  </si>
  <si>
    <t>TOP CUSTOMER</t>
  </si>
  <si>
    <t>Customer Name</t>
  </si>
  <si>
    <t>ΚΤΕΛ ΑΕ ΚΟΖΑΝΗΣ</t>
  </si>
  <si>
    <t>ΔΕΔΔΗΕ ΑΕ</t>
  </si>
  <si>
    <t>ΑΦΟΙ ΓΕΩΡΓΙΑΔΗ CRISTAL</t>
  </si>
  <si>
    <t>PAYMENT METHOD ANALYSIS</t>
  </si>
  <si>
    <t>Payment Method</t>
  </si>
  <si>
    <t>Orders</t>
  </si>
  <si>
    <t xml:space="preserve">Μεταφορά Τράπεζας </t>
  </si>
  <si>
    <t xml:space="preserve">Κάρτα </t>
  </si>
  <si>
    <t xml:space="preserve">Μετρητά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</si>
</sst>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28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u/>
      <sz val="24"/>
      <color theme="1"/>
      <name val="Arial Nova"/>
      <family val="2"/>
    </font>
    <font>
      <b/>
      <u/>
      <sz val="11"/>
      <color theme="1"/>
      <name val="Arial Nova"/>
      <family val="2"/>
    </font>
    <font>
      <b/>
      <u/>
      <sz val="12"/>
      <color theme="1"/>
      <name val="Arial Nova"/>
      <family val="2"/>
    </font>
    <font>
      <sz val="12"/>
      <color theme="1"/>
      <name val="Arial Nova"/>
      <family val="2"/>
    </font>
    <font>
      <sz val="11"/>
      <color theme="1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/>
    <xf numFmtId="0" fontId="0" fillId="0" borderId="2" xfId="0" applyBorder="1"/>
    <xf numFmtId="0" fontId="3" fillId="3" borderId="1" xfId="0" applyFont="1" applyFill="1" applyBorder="1"/>
    <xf numFmtId="0" fontId="1" fillId="4" borderId="2" xfId="0" applyFont="1" applyFill="1" applyBorder="1"/>
    <xf numFmtId="0" fontId="8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5" fillId="5" borderId="0" xfId="0" applyFont="1" applyFill="1"/>
    <xf numFmtId="0" fontId="8" fillId="5" borderId="0" xfId="0" applyFont="1" applyFill="1"/>
    <xf numFmtId="164" fontId="0" fillId="0" borderId="2" xfId="0" applyNumberFormat="1" applyBorder="1"/>
    <xf numFmtId="0" fontId="6" fillId="2" borderId="7" xfId="0" applyFont="1" applyFill="1" applyBorder="1"/>
    <xf numFmtId="0" fontId="5" fillId="2" borderId="8" xfId="0" applyFont="1" applyFill="1" applyBorder="1"/>
    <xf numFmtId="0" fontId="7" fillId="4" borderId="3" xfId="0" applyFont="1" applyFill="1" applyBorder="1"/>
    <xf numFmtId="0" fontId="8" fillId="4" borderId="4" xfId="0" applyFont="1" applyFill="1" applyBorder="1"/>
    <xf numFmtId="0" fontId="7" fillId="4" borderId="7" xfId="0" applyFont="1" applyFill="1" applyBorder="1"/>
    <xf numFmtId="0" fontId="8" fillId="4" borderId="8" xfId="0" applyFont="1" applyFill="1" applyBorder="1"/>
    <xf numFmtId="0" fontId="0" fillId="4" borderId="8" xfId="0" applyFill="1" applyBorder="1"/>
    <xf numFmtId="0" fontId="7" fillId="4" borderId="7" xfId="0" applyFont="1" applyFill="1" applyBorder="1" applyAlignment="1">
      <alignment horizontal="left" vertical="center"/>
    </xf>
    <xf numFmtId="0" fontId="7" fillId="4" borderId="8" xfId="0" applyFont="1" applyFill="1" applyBorder="1"/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/>
    <xf numFmtId="0" fontId="0" fillId="4" borderId="6" xfId="0" applyFill="1" applyBorder="1"/>
    <xf numFmtId="0" fontId="8" fillId="2" borderId="4" xfId="0" applyFont="1" applyFill="1" applyBorder="1"/>
    <xf numFmtId="0" fontId="8" fillId="2" borderId="8" xfId="0" applyFont="1" applyFill="1" applyBorder="1"/>
    <xf numFmtId="0" fontId="0" fillId="0" borderId="2" xfId="0" applyFill="1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44" fontId="0" fillId="0" borderId="2" xfId="0" applyNumberFormat="1" applyBorder="1"/>
    <xf numFmtId="0" fontId="1" fillId="4" borderId="9" xfId="0" applyFont="1" applyFill="1" applyBorder="1"/>
    <xf numFmtId="0" fontId="3" fillId="4" borderId="1" xfId="0" applyFont="1" applyFill="1" applyBorder="1"/>
    <xf numFmtId="0" fontId="8" fillId="4" borderId="0" xfId="0" applyFont="1" applyFill="1" applyBorder="1"/>
    <xf numFmtId="0" fontId="8" fillId="5" borderId="0" xfId="0" applyFont="1" applyFill="1" applyBorder="1"/>
    <xf numFmtId="0" fontId="0" fillId="0" borderId="0" xfId="0" applyBorder="1"/>
    <xf numFmtId="0" fontId="0" fillId="5" borderId="0" xfId="0" applyFill="1" applyBorder="1"/>
    <xf numFmtId="0" fontId="3" fillId="4" borderId="10" xfId="0" applyFont="1" applyFill="1" applyBorder="1"/>
    <xf numFmtId="0" fontId="1" fillId="4" borderId="11" xfId="0" applyFont="1" applyFill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63500</xdr:rowOff>
    </xdr:from>
    <xdr:to>
      <xdr:col>3</xdr:col>
      <xdr:colOff>84981</xdr:colOff>
      <xdr:row>5</xdr:row>
      <xdr:rowOff>127000</xdr:rowOff>
    </xdr:to>
    <xdr:pic>
      <xdr:nvPicPr>
        <xdr:cNvPr id="3" name="Εικόνα 2">
          <a:extLst>
            <a:ext uri="{FF2B5EF4-FFF2-40B4-BE49-F238E27FC236}">
              <a16:creationId xmlns:a16="http://schemas.microsoft.com/office/drawing/2014/main" id="{44501389-FD13-8867-017A-A23F8CB09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500"/>
          <a:ext cx="4104531" cy="984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30bf89f2ff6c8a9/&#933;&#960;&#959;&#955;&#959;&#947;&#953;&#963;&#964;&#942;&#962;/a%20folder/DEVETZIS%20ELECTRO%20SERVICE/DEVE_ORDER_MANAGEMENT.xlsx" TargetMode="External"/><Relationship Id="rId1" Type="http://schemas.openxmlformats.org/officeDocument/2006/relationships/externalLinkPath" Target="DEVE_ORDER_MANAG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Φύλλο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8"/>
  <sheetViews>
    <sheetView tabSelected="1" topLeftCell="A18" workbookViewId="0">
      <selection activeCell="G36" sqref="G36"/>
    </sheetView>
  </sheetViews>
  <sheetFormatPr defaultRowHeight="14.5" x14ac:dyDescent="0.35"/>
  <cols>
    <col min="1" max="1" width="22.36328125" customWidth="1"/>
    <col min="2" max="2" width="15.453125" customWidth="1"/>
    <col min="3" max="3" width="19.7265625" customWidth="1"/>
    <col min="4" max="4" width="9.26953125" customWidth="1"/>
    <col min="5" max="5" width="8.36328125" customWidth="1"/>
  </cols>
  <sheetData>
    <row r="2" spans="1:7" x14ac:dyDescent="0.35">
      <c r="C2" s="8"/>
      <c r="D2" s="8"/>
    </row>
    <row r="3" spans="1:7" x14ac:dyDescent="0.35">
      <c r="C3" s="8"/>
      <c r="D3" s="8"/>
    </row>
    <row r="4" spans="1:7" x14ac:dyDescent="0.35">
      <c r="C4" s="9"/>
      <c r="D4" s="9"/>
    </row>
    <row r="5" spans="1:7" x14ac:dyDescent="0.35">
      <c r="C5" s="9"/>
      <c r="D5" s="9"/>
    </row>
    <row r="6" spans="1:7" x14ac:dyDescent="0.35">
      <c r="C6" s="9"/>
      <c r="D6" s="9"/>
    </row>
    <row r="7" spans="1:7" ht="15" thickBot="1" x14ac:dyDescent="0.4">
      <c r="C7" s="9"/>
      <c r="D7" s="32"/>
    </row>
    <row r="8" spans="1:7" ht="30" x14ac:dyDescent="0.6">
      <c r="A8" s="6" t="s">
        <v>11</v>
      </c>
      <c r="B8" s="7"/>
      <c r="C8" s="23"/>
      <c r="D8" s="32"/>
    </row>
    <row r="9" spans="1:7" ht="16" thickBot="1" x14ac:dyDescent="0.4">
      <c r="A9" s="11" t="s">
        <v>12</v>
      </c>
      <c r="B9" s="12"/>
      <c r="C9" s="24"/>
      <c r="D9" s="32"/>
    </row>
    <row r="10" spans="1:7" ht="15.5" x14ac:dyDescent="0.35">
      <c r="A10" s="13" t="s">
        <v>13</v>
      </c>
      <c r="B10" s="14"/>
      <c r="C10" s="14"/>
      <c r="D10" s="32"/>
    </row>
    <row r="11" spans="1:7" ht="15.5" x14ac:dyDescent="0.35">
      <c r="A11" s="15" t="s">
        <v>14</v>
      </c>
      <c r="B11" s="16"/>
      <c r="C11" s="17"/>
      <c r="D11" s="34"/>
    </row>
    <row r="12" spans="1:7" ht="15.5" x14ac:dyDescent="0.35">
      <c r="A12" s="15" t="s">
        <v>15</v>
      </c>
      <c r="B12" s="31"/>
      <c r="C12" s="17"/>
      <c r="D12" s="34"/>
    </row>
    <row r="13" spans="1:7" ht="15.5" x14ac:dyDescent="0.35">
      <c r="A13" s="15" t="s">
        <v>16</v>
      </c>
      <c r="B13" s="16"/>
      <c r="C13" s="17"/>
      <c r="D13" s="34"/>
    </row>
    <row r="14" spans="1:7" ht="15.5" x14ac:dyDescent="0.35">
      <c r="A14" s="15" t="s">
        <v>17</v>
      </c>
      <c r="B14" s="16"/>
      <c r="C14" s="17"/>
      <c r="D14" s="32"/>
      <c r="E14" s="5"/>
      <c r="F14" s="5"/>
      <c r="G14" s="5"/>
    </row>
    <row r="15" spans="1:7" ht="15.5" x14ac:dyDescent="0.35">
      <c r="A15" s="18" t="s">
        <v>18</v>
      </c>
      <c r="B15" s="19"/>
      <c r="C15" s="17"/>
      <c r="D15" s="34"/>
    </row>
    <row r="16" spans="1:7" ht="16" thickBot="1" x14ac:dyDescent="0.4">
      <c r="A16" s="20" t="s">
        <v>19</v>
      </c>
      <c r="B16" s="21"/>
      <c r="C16" s="22"/>
      <c r="D16" s="34"/>
    </row>
    <row r="17" spans="1:4" ht="15" thickBot="1" x14ac:dyDescent="0.4">
      <c r="D17" s="33"/>
    </row>
    <row r="18" spans="1:4" ht="36.5" thickBot="1" x14ac:dyDescent="0.85">
      <c r="A18" s="1" t="s">
        <v>10</v>
      </c>
    </row>
    <row r="19" spans="1:4" ht="19" thickBot="1" x14ac:dyDescent="0.5">
      <c r="A19" s="3" t="s">
        <v>8</v>
      </c>
    </row>
    <row r="20" spans="1:4" x14ac:dyDescent="0.35">
      <c r="A20" s="4" t="s">
        <v>0</v>
      </c>
      <c r="B20" s="4" t="s">
        <v>1</v>
      </c>
    </row>
    <row r="21" spans="1:4" x14ac:dyDescent="0.35">
      <c r="A21" s="2" t="s">
        <v>2</v>
      </c>
      <c r="B21" s="2">
        <f>COUNTA([1]!tblOrders [ ID / CODE] )</f>
        <v>40</v>
      </c>
    </row>
    <row r="22" spans="1:4" x14ac:dyDescent="0.35">
      <c r="A22" s="2" t="s">
        <v>3</v>
      </c>
      <c r="B22" s="10">
        <f>SUM([1]!tblOrders[TOTAL WITH VAT])</f>
        <v>3813.2802399999987</v>
      </c>
    </row>
    <row r="23" spans="1:4" x14ac:dyDescent="0.35">
      <c r="A23" s="2" t="s">
        <v>4</v>
      </c>
      <c r="B23" s="10">
        <f>SUM([1]!tblOrders[VAT AMOUNT])</f>
        <v>738.05423999999994</v>
      </c>
    </row>
    <row r="24" spans="1:4" x14ac:dyDescent="0.35">
      <c r="A24" s="2" t="s">
        <v>5</v>
      </c>
      <c r="B24" s="10">
        <f>AVERAGE([1]!tblOrders[TOTAL WITH VAT])</f>
        <v>95.332005999999964</v>
      </c>
    </row>
    <row r="25" spans="1:4" x14ac:dyDescent="0.35">
      <c r="A25" s="2" t="s">
        <v>25</v>
      </c>
      <c r="B25" s="10">
        <f>MAX([1]!tblOrders[TOTAL WITH VAT])</f>
        <v>241.72560000000004</v>
      </c>
    </row>
    <row r="26" spans="1:4" x14ac:dyDescent="0.35">
      <c r="A26" s="2" t="s">
        <v>26</v>
      </c>
      <c r="B26" s="10">
        <f>MIN([1]!tblOrders[TOTAL WITH VAT])</f>
        <v>18.847999999999999</v>
      </c>
    </row>
    <row r="27" spans="1:4" x14ac:dyDescent="0.35">
      <c r="A27" s="25" t="s">
        <v>27</v>
      </c>
      <c r="B27" s="10">
        <f>B22-B23</f>
        <v>3075.2259999999987</v>
      </c>
    </row>
    <row r="28" spans="1:4" ht="15" thickBot="1" x14ac:dyDescent="0.4"/>
    <row r="29" spans="1:4" ht="19" thickBot="1" x14ac:dyDescent="0.5">
      <c r="A29" s="3" t="s">
        <v>9</v>
      </c>
    </row>
    <row r="30" spans="1:4" x14ac:dyDescent="0.35">
      <c r="A30" s="29" t="s">
        <v>6</v>
      </c>
      <c r="B30" s="4" t="s">
        <v>7</v>
      </c>
      <c r="C30" s="4" t="s">
        <v>28</v>
      </c>
    </row>
    <row r="31" spans="1:4" x14ac:dyDescent="0.35">
      <c r="A31" s="26" t="s">
        <v>20</v>
      </c>
      <c r="B31" s="27">
        <v>65</v>
      </c>
      <c r="C31" s="26" t="s">
        <v>29</v>
      </c>
    </row>
    <row r="32" spans="1:4" x14ac:dyDescent="0.35">
      <c r="A32" s="26" t="s">
        <v>21</v>
      </c>
      <c r="B32" s="27">
        <v>50</v>
      </c>
      <c r="C32" s="26" t="s">
        <v>30</v>
      </c>
    </row>
    <row r="33" spans="1:3" x14ac:dyDescent="0.35">
      <c r="A33" s="26" t="s">
        <v>22</v>
      </c>
      <c r="B33" s="27">
        <v>43</v>
      </c>
      <c r="C33" s="26" t="s">
        <v>31</v>
      </c>
    </row>
    <row r="34" spans="1:3" x14ac:dyDescent="0.35">
      <c r="A34" s="26" t="s">
        <v>23</v>
      </c>
      <c r="B34" s="27">
        <v>22</v>
      </c>
      <c r="C34" s="26" t="s">
        <v>31</v>
      </c>
    </row>
    <row r="35" spans="1:3" x14ac:dyDescent="0.35">
      <c r="A35" s="26" t="s">
        <v>24</v>
      </c>
      <c r="B35" s="27">
        <v>16</v>
      </c>
      <c r="C35" s="26" t="s">
        <v>29</v>
      </c>
    </row>
    <row r="36" spans="1:3" ht="15" thickBot="1" x14ac:dyDescent="0.4"/>
    <row r="37" spans="1:3" ht="19" thickBot="1" x14ac:dyDescent="0.5">
      <c r="A37" s="30" t="s">
        <v>32</v>
      </c>
    </row>
    <row r="38" spans="1:3" x14ac:dyDescent="0.35">
      <c r="A38" s="29" t="s">
        <v>33</v>
      </c>
      <c r="B38" s="4" t="s">
        <v>3</v>
      </c>
    </row>
    <row r="39" spans="1:3" x14ac:dyDescent="0.35">
      <c r="A39" s="2" t="s">
        <v>34</v>
      </c>
      <c r="B39" s="28">
        <v>754.33</v>
      </c>
    </row>
    <row r="40" spans="1:3" x14ac:dyDescent="0.35">
      <c r="A40" s="2" t="s">
        <v>35</v>
      </c>
      <c r="B40" s="28">
        <v>301.57</v>
      </c>
    </row>
    <row r="41" spans="1:3" x14ac:dyDescent="0.35">
      <c r="A41" s="2" t="s">
        <v>36</v>
      </c>
      <c r="B41" s="28">
        <v>243.14</v>
      </c>
    </row>
    <row r="43" spans="1:3" ht="15" thickBot="1" x14ac:dyDescent="0.4"/>
    <row r="44" spans="1:3" ht="19" thickBot="1" x14ac:dyDescent="0.5">
      <c r="A44" s="35" t="s">
        <v>37</v>
      </c>
      <c r="B44" s="36"/>
    </row>
    <row r="45" spans="1:3" x14ac:dyDescent="0.35">
      <c r="A45" s="29" t="s">
        <v>38</v>
      </c>
      <c r="B45" s="29" t="s">
        <v>39</v>
      </c>
    </row>
    <row r="46" spans="1:3" x14ac:dyDescent="0.35">
      <c r="A46" s="2" t="s">
        <v>40</v>
      </c>
      <c r="B46" s="27">
        <f>COUNTIF([1]!tblOrders[PAYMENT METHOD], "Μεταφορά στη Τράπεζα")</f>
        <v>19</v>
      </c>
    </row>
    <row r="47" spans="1:3" x14ac:dyDescent="0.35">
      <c r="A47" s="2" t="s">
        <v>41</v>
      </c>
      <c r="B47" s="27">
        <f>COUNTIF([1]!tblOrders[PAYMENT METHOD], "Κάρτα")</f>
        <v>12</v>
      </c>
    </row>
    <row r="48" spans="1:3" x14ac:dyDescent="0.35">
      <c r="A48" s="2" t="s">
        <v>42</v>
      </c>
      <c r="B48" s="27">
        <f>COUNTIF([1]!tblOrders[PAYMENT METHOD], "Μετρητά")</f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Devetzi</dc:creator>
  <cp:lastModifiedBy>Georgia Devetzi</cp:lastModifiedBy>
  <dcterms:created xsi:type="dcterms:W3CDTF">2015-06-05T18:19:34Z</dcterms:created>
  <dcterms:modified xsi:type="dcterms:W3CDTF">2026-03-23T16:15:21Z</dcterms:modified>
</cp:coreProperties>
</file>